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a03553e695d2c46a/Desktop/Repository/ITAMed/Question_Classification/expert_review/"/>
    </mc:Choice>
  </mc:AlternateContent>
  <xr:revisionPtr revIDLastSave="14" documentId="13_ncr:1_{5EF92A03-F12B-40B7-9BA4-C21A3DCC19F5}" xr6:coauthVersionLast="47" xr6:coauthVersionMax="47" xr10:uidLastSave="{8F9D9F6A-D010-4AFC-A93E-15A85FDD4149}"/>
  <bookViews>
    <workbookView xWindow="8670" yWindow="-21720" windowWidth="38640" windowHeight="21120" xr2:uid="{00000000-000D-0000-FFFF-FFFF00000000}"/>
  </bookViews>
  <sheets>
    <sheet name="Expert Review" sheetId="1" r:id="rId1"/>
    <sheet name="Foglio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2" i="1"/>
</calcChain>
</file>

<file path=xl/sharedStrings.xml><?xml version="1.0" encoding="utf-8"?>
<sst xmlns="http://schemas.openxmlformats.org/spreadsheetml/2006/main" count="669" uniqueCount="553">
  <si>
    <t>Anno</t>
  </si>
  <si>
    <t>N. Domanda</t>
  </si>
  <si>
    <t>Codice</t>
  </si>
  <si>
    <t>Domanda</t>
  </si>
  <si>
    <t>Categoria Claude</t>
  </si>
  <si>
    <t>Categoria GPT</t>
  </si>
  <si>
    <t>ssm201713</t>
  </si>
  <si>
    <t>Un paziente di 75 anni deve essere sottoposto a un intervento elettivo di resezione intestinale. In anamnesi presenta una fibrillazione atriale cronica in terapia con warfarin. Secondo le attuali linee guida europee, in vista dell'intervento:</t>
  </si>
  <si>
    <t>bisognerà sospendere l'anticoagulante 5 giorni prima dell'intervento</t>
  </si>
  <si>
    <t>Anestesia e Rianimazione; Cardiologia e Cardiochirurgia</t>
  </si>
  <si>
    <t>Cardiologia e Cardiochirurgia</t>
  </si>
  <si>
    <t>ssm201734</t>
  </si>
  <si>
    <t>Un paziente esegue una TC del torace che dimostra un nodulo subpleurico del lobo superiore sinistro a margini spiculati di diametro 1,8 cm. Nel sospetto di neoplasia polmonare, quale tra i seguenti è l'esame diagnostico più appropriato per la stadiazione della malattia, in funzione della pianificazione della strategia terapeutica?</t>
  </si>
  <si>
    <t>PET-TC total body</t>
  </si>
  <si>
    <t>Oncologia; Diagnostica per Immagini e Medicina Nucleare</t>
  </si>
  <si>
    <t>Pneumologia e Chirurgia Toracica; Oncologia</t>
  </si>
  <si>
    <t>ssm201740</t>
  </si>
  <si>
    <t>A un paziente di 65 anni, in buone condizioni generali, con funzionalità respiratoria e cardiologica conservata, viene diagnosticata una neoplasia del lobo polmonare superiore sinistro. Al termine della stadiazione risulta essere un carcinoma a piccole cellule T2, N1, M0. Che terapia verrà proposta al paziente?</t>
  </si>
  <si>
    <t>Chemioterapia</t>
  </si>
  <si>
    <t>Oncologia; Pneumologia e Chirurgia Toracica</t>
  </si>
  <si>
    <t>ssm201777</t>
  </si>
  <si>
    <t>L'uso di quale dei seguenti farmaci comporta un maggior rischio di ulcera gastrica?</t>
  </si>
  <si>
    <t>Ketoprofene</t>
  </si>
  <si>
    <t>Farmacologia e Tossicologia; Gastroenterologia</t>
  </si>
  <si>
    <t>Gastroenterologia; Farmacologia e Tossicologia</t>
  </si>
  <si>
    <t>ssm201779</t>
  </si>
  <si>
    <t>Il propranololo è indicato nella terapia dell'ipertensione arteriosa. A quale dei seguenti farmaci NON dovrebbe mai essere associato nella terapia dell'ipertensione arteriosa a causa dei possibili effetti collaterali sulla conduzione cardiaca?</t>
  </si>
  <si>
    <t>Verapamil</t>
  </si>
  <si>
    <t>Farmacologia e Tossicologia; Cardiologia e Cardiochirurgia</t>
  </si>
  <si>
    <t>Cardiologia e Cardiochirurgia; Farmacologia e Tossicologia</t>
  </si>
  <si>
    <t>ssm201783</t>
  </si>
  <si>
    <t>Una ragazza di 15 anni viene portata dai genitori dalla ginecologa per amenorrea. Presenta anche un limitato sviluppo puberale associato a bassa statura, torace a scudo e bassa attaccatura dei capelli. L'esame ecografico transvaginale mostra la presenza di banderelle fibrose al posto delle ovaie. Qual è la diagnosi più probabile?</t>
  </si>
  <si>
    <t>Sindrome di Turner</t>
  </si>
  <si>
    <t>Ginecologia e Ostetricia; Genetica Medica</t>
  </si>
  <si>
    <t>Genetica Medica; Ginecologia e Ostetricia</t>
  </si>
  <si>
    <t>ssm2017108</t>
  </si>
  <si>
    <t>In una fonderia viene diagnosticato un caso di Legionellosi in un operaio. Si segnala che: le vasche di raffreddamento dei metalli hanno una temperatura controllata pari a 60 °C; gli operai utilizzano la mensa comune per il pasto; utilizzano bagni e docce all'interno dell'azienda; nelle vicinanze della fabbrica non ci sono scavi o lavori edilizi. In base ai dati a disposizione, qual è considerata la sorgente più probabile di infezione?</t>
  </si>
  <si>
    <t>L'utilizzo dei bagni/docce</t>
  </si>
  <si>
    <t>Igiene, Epidemiologia e Statistica; Medicina del Lavoro</t>
  </si>
  <si>
    <t>Malattie Infettive; Medicina del Lavoro</t>
  </si>
  <si>
    <t>ssm2017156</t>
  </si>
  <si>
    <t>Quale delle seguenti malattie si associa al deficit di alfa1 antitripsina?</t>
  </si>
  <si>
    <t>Cirrosi epatica</t>
  </si>
  <si>
    <t>Pneumologia e Chirurgia Toracica; Gastroenterologia</t>
  </si>
  <si>
    <t>Gastroenterologia</t>
  </si>
  <si>
    <t>ssm2017206</t>
  </si>
  <si>
    <t>Qual è l'organo più frequentemente interessato dalle metastasi di carcinoma gastrico per via ematogena?</t>
  </si>
  <si>
    <t>Fegato</t>
  </si>
  <si>
    <t>Oncologia; Gastroenterologia</t>
  </si>
  <si>
    <t>Gastroenterologia; Oncologia</t>
  </si>
  <si>
    <t>ssm2017207</t>
  </si>
  <si>
    <t>A una donna viene diagnosticato un carcinoma renale a cellule chiare con metastasi polmonari. La paziente inizia il trattamento biologico di prima linea con un inibitore delle chinasi (multi-targeted receptor tyrosine kinase, RTK). Tra i farmaci biologici elencati, qual è l'agente terapeutico che la paziente sta assumendo per la patologia in anamnesi?</t>
  </si>
  <si>
    <t>Sunitinib</t>
  </si>
  <si>
    <t>Oncologia; Farmacologia e Tossicologia</t>
  </si>
  <si>
    <t>Urologia; Oncologia</t>
  </si>
  <si>
    <t>ssm2017233</t>
  </si>
  <si>
    <t>Quale delle seguenti affermazioni, per quanto riguarda la bassa statura familiare, è ERRATA?</t>
  </si>
  <si>
    <t>La velocità di crescità è ridotta</t>
  </si>
  <si>
    <t>Endocrinologia; Pediatria</t>
  </si>
  <si>
    <t>Pediatria; Endocrinologia</t>
  </si>
  <si>
    <t>ssm2017236</t>
  </si>
  <si>
    <t>Bambino di 6 anni, caucasico, nato a termine dopo gravidanza decorsa regolarmente. Peso e lunghezza alla nascita adeguati per l'età gestazionale. Periodo neonatale normodecorso. Allattamento materno per 7 mesi, divezzamento regolare. Buona salute generale. Al controllo periodico peso e altezza risultano al 3° percentile. Prepubere. Target genetico 3° percentile. Sviluppo somatico armonico. Sviluppo neurologico adeguato per l'età. Quali sono gli accertamenti di primo livello da fare in un bambino di 6 anni di bassa statura?</t>
  </si>
  <si>
    <t>Esami ematici (emocromo, sierologia per celiachia, TSH, fT4, creatininemia e IGF 1) e radiografia del polso</t>
  </si>
  <si>
    <t>ssm20182144004</t>
  </si>
  <si>
    <t>Quale delle seguenti NON è considerata un'infezione sessualmente trasmessa?</t>
  </si>
  <si>
    <t>Cistite da E.coli</t>
  </si>
  <si>
    <t>Malattie Infettive</t>
  </si>
  <si>
    <t>Dermatologia e Venereologia; Malattie Infettive</t>
  </si>
  <si>
    <t>ssm20182144154</t>
  </si>
  <si>
    <t>Una donna di 37 anni, all'ottava settimana di gravidanza, ai primi esami presenta Hb 9,5 g/dL e MCV 72 fl. Quale di queste condizioni NON può essere la causa dei valori presentati nello scenario?</t>
  </si>
  <si>
    <t>Anemia da carenza di vitamina B12 causata da dieta vegana</t>
  </si>
  <si>
    <t>Ematologia; Ginecologia e Ostetricia</t>
  </si>
  <si>
    <t>Ginecologia e Ostetricia; Ematologia</t>
  </si>
  <si>
    <t>ssm20182144454</t>
  </si>
  <si>
    <t>La legge istitutiva del Sistema Sanitario Nazionale è:</t>
  </si>
  <si>
    <t>la legge 833/1978</t>
  </si>
  <si>
    <t>Medicina Legale</t>
  </si>
  <si>
    <t>Igiene, Epidemiologia e Statistica</t>
  </si>
  <si>
    <t>ssm20182144854</t>
  </si>
  <si>
    <t>Un uomo viene portato in Pronto Soccorso in seguito a intossicazione da benzodiazepine. Cosa mostrerà verosimilmente l'emogasanalisi arteriosa?</t>
  </si>
  <si>
    <t>Acidosi respiratoria ipercapnica</t>
  </si>
  <si>
    <t>Anestesia e Rianimazione; Farmacologia e Tossicologia</t>
  </si>
  <si>
    <t>Farmacologia e Tossicologia</t>
  </si>
  <si>
    <t>ssm20182145054</t>
  </si>
  <si>
    <t>Un paziente di 25 anni ha un'ipertensione arteriosa grave e resistente, insorta recentemente. All'esame obiettivo si reperta soffio addominale. Agli esami ematochimici ha valori bassi di potassio sierico. Qual è il sospetto clinico?</t>
  </si>
  <si>
    <t>Ipertensione nefrovascolare</t>
  </si>
  <si>
    <t>Cardiologia e Cardiochirurgia; Nefrologia</t>
  </si>
  <si>
    <t>Nefrologia</t>
  </si>
  <si>
    <t>ssm20182145754</t>
  </si>
  <si>
    <t>Un uomo di 66 anni, obeso, fumatore e iperteso, è in terapia con simvastatina (40 mg) da circa 2 anni dopo un grave infarto del miocardio. A una visita di controllo i valori plasmatici di trigliceridi risultano accettabili, mentre quelli del colesterolo LDL risultano eccessivamente elevati rispetto agli obiettivi terapeutici. Quale dei seguenti farmaci è la migliore associazione alla simvastatina in modo da ottenere un'ulteriore riduzione dei valori di LDL, garantendo una buona sicurezza terapeutica?</t>
  </si>
  <si>
    <t>Ezetimibe</t>
  </si>
  <si>
    <t>ssm20182145904</t>
  </si>
  <si>
    <t>Una donna di 64 anni, nota per cardiopatia ipertensiva, si presenta in Pronto Soccorso lamentando debolezza muscolare e palpitazioni. L'ECG mostra onde T appuntite ("a tenda") e un intervallo PR prolungato. Quale dei seguenti farmaci è verosimilmente responsabile dei sintomi della paziente e del quadro ECG descritto?</t>
  </si>
  <si>
    <t>Spironolattone</t>
  </si>
  <si>
    <t>Nefrologia; Farmacologia e Tossicologia</t>
  </si>
  <si>
    <t>ssm20182146054</t>
  </si>
  <si>
    <t>Un ragazzo di 18 anni viene portato in stato soporoso al Pronto Soccorso dai genitori. La madre riferisce che il figlio ha avuto nausea, vomito e dolori addominali. Le prime cose che vengono notate dal personale medico sono grave disidratazione e respiro irregolare caratterizzato da profonda inspirazione e rapida espirazione. Viene eseguita una emogasanalisi arteriosa che mostra: pH 7.15; pCO2 15 mmHg; HCO3- 8 mEq/L. Il gap anionico calcolato è di 30 mEq/L. Qual è l'interpretazione corretta di tale emogasanalisi?</t>
  </si>
  <si>
    <t>Acidosi metabolica con aumentato gap anionico</t>
  </si>
  <si>
    <t>Nefrologia; Endocrinologia</t>
  </si>
  <si>
    <t>Endocrinologia</t>
  </si>
  <si>
    <t>ssm20182146404</t>
  </si>
  <si>
    <t>Una ragazza di 20 anni si rivolge al proprio medico curante per febbre, malessere e dolore urente in sede genitale. Alla visita vengono riscontrati una linfoadenopatia inguinale dolente, lesioni vescicolari ed erosioni a livello dei genitali esterni. Qual è l'agente eziologico verosimilmente responsabile di tale infezione genitale?</t>
  </si>
  <si>
    <t>Herpes simplex virus tipo 2</t>
  </si>
  <si>
    <t>Malattie Infettive; Ginecologia e Ostetricia</t>
  </si>
  <si>
    <t>Dermatologia e Venereologia</t>
  </si>
  <si>
    <t>ssm20182146504</t>
  </si>
  <si>
    <t>Una donna di 62 anni, HCV positiva da oltre 25 anni, presenta da alcune settimane edemi declivi, macroematuria negli ultimi giorni, petecchie alle gambe e al tronco, febbricola, nausea e saltuari episodi di vomito; PA recentemente elevata (165/95 mmHg). Gli esami dimostrano: Creatininemia 1.2 mg/dL, Na+ 143 mEq/L, K+ 3.3 mEq/L, esame urine: proteinuria ++, sedimento con numerosissimi eritrociti, cilindri ialini e ialino-granulosi. L'ecografia renale dimostra reni iperecogeni, ma di dimensioni conservate. Quale diagnosi si ritiene più verosimile?</t>
  </si>
  <si>
    <t>Vasculite crioglobulinemica</t>
  </si>
  <si>
    <t>Nefrologia; Immunologia e Reumatologia</t>
  </si>
  <si>
    <t>Immunologia e Reumatologia; Nefrologia</t>
  </si>
  <si>
    <t>ssm20182147454</t>
  </si>
  <si>
    <t>Un bambino di 5 anni presenta una neoformazione della regione mediana del collo, non dolente, mobile con gli atti deglutitori, che ha presentato incremento volumetrico progressivo. Qual è la diagnosi più verosimile?</t>
  </si>
  <si>
    <t>Cisti del dotto tireoglosso</t>
  </si>
  <si>
    <t>Chirurgia Generale; Pediatria</t>
  </si>
  <si>
    <t>Otorinolaringoiatria</t>
  </si>
  <si>
    <t>ssm20182147904</t>
  </si>
  <si>
    <t>I genitori di una bimba di 6 anni scoprono che la figlia è celiaca dopo un iter diagnostico volto a investigare i suoi dolori addominali ricorrenti. Quale di questi cereali deve essere escluso dalla sua dieta?</t>
  </si>
  <si>
    <t>Kamut</t>
  </si>
  <si>
    <t>Pediatria; Gastroenterologia</t>
  </si>
  <si>
    <t>ssm20182148354</t>
  </si>
  <si>
    <t>Indicare quale delle seguenti affermazioni sulle calcificazioni coronariche è ERRATA.</t>
  </si>
  <si>
    <t>Per la loro misurazione è necessaria una TC coronarica con mezzo di contrasto</t>
  </si>
  <si>
    <t>Diagnostica per Immagini e Medicina Nucleare; Cardiologia e Cardiochirurgia</t>
  </si>
  <si>
    <t>Cardiologia e Cardiochirurgia; Diagnostica per Immagini e Medicina Nucleare</t>
  </si>
  <si>
    <t>ssm201911</t>
  </si>
  <si>
    <t>Nella terapia del dolore nocicettivo senza sensibilizzazione spinale, NON è indicato somministrare:</t>
  </si>
  <si>
    <t>gabapentinoidi</t>
  </si>
  <si>
    <t>Farmacologia e Tossicologia; Anestesia e Rianimazione</t>
  </si>
  <si>
    <t>Anestesia e Rianimazione</t>
  </si>
  <si>
    <t>ssm201912</t>
  </si>
  <si>
    <t>Lo shock spinale si presenta con:</t>
  </si>
  <si>
    <t>ipotensione e bradicardia</t>
  </si>
  <si>
    <t>Neurologia e Neurochirurgia; Anestesia e Rianimazione</t>
  </si>
  <si>
    <t>Anestesia e Rianimazione; Neurologia e Neurochirurgia</t>
  </si>
  <si>
    <t>ssm201934</t>
  </si>
  <si>
    <t>In una donna di 60 anni, multipara con anamnesi familiare negativa per neoplasia, viene eseguita una mammografia per screening che mette in evidenza delle microcalcificazioni lineari ramificate nel quadrante infero-interno della mammella destra. Alla palpazione non si apprezzano noduli patologici. A cosa deve essere sottoposta la paziente in prima istanza?</t>
  </si>
  <si>
    <t>Biopsia stereotassica</t>
  </si>
  <si>
    <t>Diagnostica per Immagini e Medicina Nucleare; Oncologia</t>
  </si>
  <si>
    <t>ssm201938</t>
  </si>
  <si>
    <t>Un uomo di 50 anni si reca dal medico per la comparsa di dolore in sede epigastrica. Il paziente lamenta anche dimagrimento e inappetenza. Si presenta subitterico. Quale delle seguenti indagini deve essere eseguita in prima istanza nel sospetto di una neoplasia pancreatica?</t>
  </si>
  <si>
    <t>TC addome con mezzo di contrasto con protocollo specifico per il pancreas</t>
  </si>
  <si>
    <t>ssm201951</t>
  </si>
  <si>
    <t>A seguito dell'asportazione di un'ampia neoplasia cutanea al braccio sinistro a un paziente di 67 anni, il chirurgo plastico stabilisce di coprire la perdita cutanea mediante un lembo. Come si definisce la tecnica chirurgica che prevede la trasposizione di due lembi triangolari di uguali dimensioni?</t>
  </si>
  <si>
    <t>Plastica a Z</t>
  </si>
  <si>
    <t>Dermatologia e Venereologia; Chirurgia Generale</t>
  </si>
  <si>
    <t>Chirurgia Generale</t>
  </si>
  <si>
    <t>ssm201985</t>
  </si>
  <si>
    <t>Un uomo di 86 anni segue una politerapia per lo scompenso cardiaco. Dopo alcuni mesi lamenta dolore e tumefazione in regione mammaria bilaterale. Quale dei seguenti farmaci è la causa più probabile dei disturbi lamentati dal paziente?</t>
  </si>
  <si>
    <t>ssm201990</t>
  </si>
  <si>
    <t>Il riscontro di alti livelli sierici di CA 125:</t>
  </si>
  <si>
    <t>è frequente nelle pazienti con carcinoma ovarico</t>
  </si>
  <si>
    <t>Oncologia; Ginecologia e Ostetricia</t>
  </si>
  <si>
    <t>Ginecologia e Ostetricia; Oncologia</t>
  </si>
  <si>
    <t>ssm2019119</t>
  </si>
  <si>
    <t>La radiografia del torace in figura mostra un quadro che potrebbe essere pericoloso per la vita del paziente: quale?</t>
  </si>
  <si>
    <t>Pneumotorace sinistro</t>
  </si>
  <si>
    <t>Diagnostica per Immagini e Medicina Nucleare; Pneumologia e Chirurgia Toracica</t>
  </si>
  <si>
    <t>Pneumologia e Chirurgia Toracica</t>
  </si>
  <si>
    <t>ssm2019162</t>
  </si>
  <si>
    <t>Un uomo di 26 anni, che assume abitualmente eroina per via endovenosa, viene portato in Pronto Soccorso per febbre elevata presente da circa 7 giorni e dispnea. Non riferisce viaggi all'estero negli ultimi 5 anni. La TC del torace mostra noduli polmonari diffusi e bilaterali, dei quali alcuni cavitati. Quale tra le seguenti ipotesi diagnostiche dovrebbe essere considerata in prima istanza?</t>
  </si>
  <si>
    <t>Endocardite infettiva</t>
  </si>
  <si>
    <t>Cardiologia e Cardiochirurgia; Malattie Infettive</t>
  </si>
  <si>
    <t>Malattie Infettive; Cardiologia e Cardiochirurgia</t>
  </si>
  <si>
    <t>ssm2019163</t>
  </si>
  <si>
    <t>Una donna di 36 anni, poche ore dopo un aborto per morte endouterina fetale, manifesta acrocianosi, lesioni petecchiali ed epistassi. Agli esami vi è riscontro di piastrinopenia, riduzione del fibrinogeno e allungamento di PT e APTT. Come si definisce tale quadro clinico?</t>
  </si>
  <si>
    <t>Coagulazione intravascolare disseminata (CID)</t>
  </si>
  <si>
    <t>ssm2019166</t>
  </si>
  <si>
    <t>A una donna di 32 anni, che assume abitualmente eroina per via endovenosa, viene posta diagnosi di endocardite infettiva su valvola nativa. Quale tra i seguenti microrganismi è con maggior probabilità causa del quadro clinico descritto?</t>
  </si>
  <si>
    <t>Staphylococcus aureus</t>
  </si>
  <si>
    <t>ssm2019209</t>
  </si>
  <si>
    <t>Una ragazza di 25 anni giunge al Pronto Soccorso per la comparsa di un edema a mantellina al collo e al volto. Riferisce inoltre dispnea. Viene eseguita una RX del torace che mostra uno slargamento del mediastino. Tra le seguenti, qual è l'ipotesi diagnostica più probabile?</t>
  </si>
  <si>
    <t>Sindrome della vena cava superiore</t>
  </si>
  <si>
    <t>ssm2019235</t>
  </si>
  <si>
    <t>Un bambino di 18 mesi viene condotto in Pronto Soccorso per il riscontro di sangue nel pannolino. Il bambino non ha febbre né lamenta dolori addominali né ha avuto episodi di vomito. Al momento del ricovero l'emoglobina è 9 g/dL. Qual è l'esame di elezione per la diagnosi della patologia da cui è più probabilmente affetto il bambino?</t>
  </si>
  <si>
    <t>Scintigrafia con 99mTc-pertecnetato</t>
  </si>
  <si>
    <t>Pediatria; Diagnostica per Immagini e Medicina Nucleare</t>
  </si>
  <si>
    <t>Diagnostica per Immagini e Medicina Nucleare; Pediatria</t>
  </si>
  <si>
    <t>ssm20203814604</t>
  </si>
  <si>
    <t>La pulsossimetria può agevolare la diagnosi di cardiopatia congenita (pervietà del dotto di Botallo). La misurazione viene eseguita confrontando la saturazione di ossigeno in sede pre- e post-duttale. Dove si misura la pulsossimetria pre-duttale nel neonato?</t>
  </si>
  <si>
    <t>Arto superiore sinistro</t>
  </si>
  <si>
    <t>Pediatria; Cardiologia e Cardiochirurgia</t>
  </si>
  <si>
    <t>Cardiologia e Cardiochirurgia; Pediatria</t>
  </si>
  <si>
    <t>ssm20203814704</t>
  </si>
  <si>
    <t>Un bambino di 9 mesi presenta scarsa crescita e saltuari episodi di vomito; il pediatra sospetta un'allergia alle proteine del latte vaccino. Qual è il gold standard per la diagnosi di allergia alimentare?</t>
  </si>
  <si>
    <t>Prick test, applicando un estratto alimentare</t>
  </si>
  <si>
    <t>Pediatria; Immunologia e Reumatologia</t>
  </si>
  <si>
    <t>Immunologia e Reumatologia; Pediatria</t>
  </si>
  <si>
    <t>ssm20203814854</t>
  </si>
  <si>
    <t>Il pediatra oncologo prescrive 3 L/m2/die di liquidi per via endovenosa a una bambina di 6 anni con nuova diagnosi di Leucemia Linfatica Acuta (LLA) per prevenire la sindrome da lisi tumorale, che può comportare severe complicanze metaboliche e idroelettrolitiche. Quale tra queste NON rientra tra le complicanze?</t>
  </si>
  <si>
    <t>Iperkaliemia</t>
  </si>
  <si>
    <t>Ipercalcemia</t>
  </si>
  <si>
    <t>Pediatria; Oncologia</t>
  </si>
  <si>
    <t>Ematologia</t>
  </si>
  <si>
    <t>ssm20203815504</t>
  </si>
  <si>
    <t>La formula di Parkland, nota anche come formula di Baxter, è utilizzata per stimare:</t>
  </si>
  <si>
    <t>L'apporto calorico nel paziente sottoposto a chirurgia bariatrica</t>
  </si>
  <si>
    <t>Chirurgia Generale; Anestesia e Rianimazione</t>
  </si>
  <si>
    <t>ssm20203817304</t>
  </si>
  <si>
    <t>Livelli elevati di fosfatasi alcalina sierica possono essere presenti in molte condizioni cliniche. In quale delle seguenti condizioni i livelli di fosfatasi alcalina NON sono aumentati?</t>
  </si>
  <si>
    <t>Ostruzione delle vie biliari</t>
  </si>
  <si>
    <t>ssm20203817354</t>
  </si>
  <si>
    <t>Uomo di 50 anni si presenta in Pronto Soccorso per dolore forte a livello del fianco destro, parzialmente irradiato verso la regione inguinale, intermittente. Il dolore non è responsivo ai cambiamenti di posizione. Il paziente si presenta sudato e riferisce episodi di nausea. Viene posto il sospetto di urolitiasi e il medico internista in Pronto Soccorso esegue un'ecografia che mette in evidenza una moderata dilatazione delle vie urinarie. Alla luce del quadro clinico, qual è l'indagine più appropriata da richiedere per il paziente in questione?</t>
  </si>
  <si>
    <t>TC dell'addome completo con mezzo di contrasto</t>
  </si>
  <si>
    <t>Diagnostica per Immagini e Medicina Nucleare; Urologia</t>
  </si>
  <si>
    <t>Urologia; Diagnostica per Immagini e Medicina Nucleare</t>
  </si>
  <si>
    <t>ssm20203817404</t>
  </si>
  <si>
    <t>Un paziente di 67 anni, maschio, giunge all'attenzione medica per un'emicrania resistente ai trattamenti di prima linea. Ha eseguito un'indagine RM dell'encefalo. Osservare le due immagini e indicare la risposta corretta.</t>
  </si>
  <si>
    <t>sequenza T2 con mezzo di contrasto del  27</t>
  </si>
  <si>
    <t>Diagnostica per Immagini e Medicina Nucleare; Neurologia e Neurochirurgia</t>
  </si>
  <si>
    <t>Neurologia e Neurochirurgia; Diagnostica per Immagini e Medicina Nucleare</t>
  </si>
  <si>
    <t>ssm20203817454</t>
  </si>
  <si>
    <t>Un paziente di 35 anni giunge in Pronto Soccorso per dolore trafittivo all'emitorace sinistro insorto in seguito a movimento brusco, associato a dispnea. La radiografia mostra un quadro non univoco e viene eseguita un'indagine TC. Alla luce del quadro TC, qual è la diagnosi del paziente?</t>
  </si>
  <si>
    <t>Pneumotorace destro</t>
  </si>
  <si>
    <t>Pneumologia e Chirurgia Toracica; Diagnostica per Immagini e Medicina Nucleare</t>
  </si>
  <si>
    <t>ssm20203817504</t>
  </si>
  <si>
    <t>Un paziente di 57 anni giunge all'attenzione medica per insorgenza progressiva di cefalea ed emianopsia bitemporale. Alla luce del quadro clinico, quale tra le seguenti indagini di imaging è più appropriata?</t>
  </si>
  <si>
    <t>RM dell'encefalo senza mezzo di contrasto con studio della sella turcica</t>
  </si>
  <si>
    <t>ssm20203817554</t>
  </si>
  <si>
    <t>Una paziente donna, di 66 anni, giunge all'attenzione medica per insorgenza da circa 2 giorni di nausea e vomito, associata ad algia addominale diffusa. L'esame obiettivo mostra scarsi o assenti rumori intestinali. Viene richiesta una radiografia diretta dell'addome. Il radiologo pone diagnosi di perforazione intestinale. Qual è il segno radiografico tipico della perforazione addominale in una radiografia dell'addome in posizione eretta?</t>
  </si>
  <si>
    <t>Presenza di falce d'aria sovradiaframmatica</t>
  </si>
  <si>
    <t>Diagnostica per Immagini e Medicina Nucleare; Chirurgia Generale</t>
  </si>
  <si>
    <t>Chirurgia Generale; Diagnostica per Immagini e Medicina Nucleare</t>
  </si>
  <si>
    <t>ssm20203818504</t>
  </si>
  <si>
    <t>La profilassi antitetanica post-esposizione può richiedere l'utilizzo del vaccino antitetanico eventualmente associato alla somministrazione di immunoglobuline. In un soggetto adulto in quale caso NON deve essere effettuata né la profilassi attiva né quella passiva?</t>
  </si>
  <si>
    <t>Solo se la ferita non è grave né profonda a prescindere dallo stato vaccinale del soggetto</t>
  </si>
  <si>
    <t>Igiene, Epidemiologia e Statistica; Malattie Infettive</t>
  </si>
  <si>
    <t>ssm202110229254</t>
  </si>
  <si>
    <t>Una donna di 55 anni, in completo benessere, esegue degli esami ematochimici ed esami urine di controllo. La donna è in menopausa da circa 4 anni. In anamnesi riferisce ipertensione arteriosa e osteopenia. L'esame microscopico del sedimento urinario mostra presenza di scarsa flora batterica. Quale tra i seguenti è l'approccio terapeutico più corretto?</t>
  </si>
  <si>
    <t>Non vi è indicazione ad alcuna terapia antibiotica</t>
  </si>
  <si>
    <t>ssm202110229304</t>
  </si>
  <si>
    <t>Un uomo di 63 anni si presenta all'attenzione medica riferendo scarso appetito, astenia, mal di testa e confusione. Dall'anamnesi emerge che ha assunto dosi eccessive di antiacidi. Viene posto il sospetto di sindrome latte-alcali. Quale alterazione elettrolitica è tipicamente associata a tale sindrome?</t>
  </si>
  <si>
    <t>Farmacologia e Tossicologia; Endocrinologia</t>
  </si>
  <si>
    <t>ssm202110229754</t>
  </si>
  <si>
    <t>Ad un uomo di 61 anni, che ha eseguito accertamenti per il recente riscontro di ipertensione arteriosa, viene posta diagnosi di microcitoma polmonare metastatico. All'esame clinico PA 160/100, FC 58 BPM. Gli esami di laboratorio mostrano GB 11.000/mm3, Hb 11,7 g/dL, piastrine 205.000/mm3, azotemia 43 mg/dL, creatinina 0,92 mg/dL, Na 144 mEq/L, K 3,4 mEq/L, calcemia e fosfatemia nella norma, glicemia a digiuno 120 mg/dL. Qual è la causa più probabile della ipertensione arteriosa riscontrata?</t>
  </si>
  <si>
    <t>Sindrome di Cushing paraneoplastica</t>
  </si>
  <si>
    <t>Oncologia; Endocrinologia</t>
  </si>
  <si>
    <t>Endocrinologia; Oncologia</t>
  </si>
  <si>
    <t>ssm202110230254</t>
  </si>
  <si>
    <t>Giunge all'attenzione del medico una donna di 60 anni affetta da cirrosi biliare primitiva. E' noto che i pazienti affetti da tale condizione, con il tempo, possono sviluppare un deficit delle vitamine liposolubili. Quale delle seguenti NON è una vitamina liposolubile?</t>
  </si>
  <si>
    <t>Vitamina C</t>
  </si>
  <si>
    <t>Nutrizione Clinica; Gastroenterologia</t>
  </si>
  <si>
    <t>Gastroenterologia; Nutrizione Clinica</t>
  </si>
  <si>
    <t>ssm202110231904</t>
  </si>
  <si>
    <t>Una bambina di 4 anni viene condotta in Pronto Soccorso per febbre, dolore addominale, vomito e diarrea ematica. Dopo 24 ore dal ricovero, la piccola sviluppa macroematuria e oliguria. Quale dei seguenti dati di laboratorio NON avvalora il sospetto di sindrome emolitico-uremica?</t>
  </si>
  <si>
    <t>Aptoglobina normale</t>
  </si>
  <si>
    <t>Pediatria; Nefrologia</t>
  </si>
  <si>
    <t>Nefrologia; Pediatria</t>
  </si>
  <si>
    <t>ssm202110232504</t>
  </si>
  <si>
    <t>Un uomo viene portato in Pronto Soccorso per estese ustioni di 2° e 3° grado. Secondo la regola del 9 di Wallace, a quale superficie di cute ustionata corrisponde un arto superiore?</t>
  </si>
  <si>
    <t>9%</t>
  </si>
  <si>
    <t>Anestesia e Rianimazione; Chirurgia Generale</t>
  </si>
  <si>
    <t>ssm202110233704</t>
  </si>
  <si>
    <t>Una donna viene sottoposta a tiroidectomia totale per struma tiroideo. Nel post-operatorio presenta disfonia. Qual è il sospetto clinico?</t>
  </si>
  <si>
    <t>Paralisi cordale iatrogena</t>
  </si>
  <si>
    <t>Otorinolaringoiatria; Endocrinologia</t>
  </si>
  <si>
    <t>Chirurgia Generale; Otorinolaringoiatria</t>
  </si>
  <si>
    <t>ssm202110234054</t>
  </si>
  <si>
    <t>Una donna di 48 anni presenta secrezione monolaterale siero-ematica dal capezzolo di destra da circa 6 mesi. L'ecografia mammaria rileva un'ectasia duttale in sede retroareolare con una formazione solida endoluminale di 1,5 cm. di diametro. L'esame istologico su core biopsy rileva la presenza di un tessuto costituito da proiezioni arborescenti con asse fibro-vascolare ben evidente, con doppio rivestimento mioepiteliale-epiteliale, in assenza di significative atipie. Qual è la diagnosi corretta?</t>
  </si>
  <si>
    <t>Papilloma intraduttale</t>
  </si>
  <si>
    <t>Fibroadenoma</t>
  </si>
  <si>
    <t>ssm202110234854</t>
  </si>
  <si>
    <t>Una donna è allettata per una frattura di femore destro. Durante il ricovero, in attesa di intervento, lamenta improvvisamente sensazione di mancanza d'aria e dolore toracico. Viene contattato l'ortopedico di guardia, che chiama il rianimatore, il quale la trova agitata, dispnoica e ipotesa. Il medico rianimatore prescrive immediatamente:</t>
  </si>
  <si>
    <t>Angio-TC nel sospetto di embolia polmonare acuta</t>
  </si>
  <si>
    <t>Anestesia e Rianimazione; Pneumologia e Chirurgia Toracica</t>
  </si>
  <si>
    <t>ssm202110234904</t>
  </si>
  <si>
    <t>Un uomo di 56 anni viene accompagnato in Pronto Soccorso dopo essere stato trovato incosciente a terra. Alla prima valutazione in sala emergenza egli apre gli occhi alla chiamata, localizza con gli arti lo stimolo doloroso ed emette dei lamenti. Qual è il suo punteggio di Glasgow Coma Scale (GCS)?</t>
  </si>
  <si>
    <t>10</t>
  </si>
  <si>
    <t>Neurologia e Neurochirurgia</t>
  </si>
  <si>
    <t>ssm202110235304</t>
  </si>
  <si>
    <t>In caso di leucemie e linfomi, vengono utilizzati gli inibitori della diidrofolico reduttasi come antimetaboliti. Quale farmaco tra questi utilizza tale meccanismo di azione?</t>
  </si>
  <si>
    <t>Metotrexate</t>
  </si>
  <si>
    <t>Farmacologia e Tossicologia; Oncologia</t>
  </si>
  <si>
    <t>Ematologia; Farmacologia e Tossicologia</t>
  </si>
  <si>
    <t>ssm202110235504</t>
  </si>
  <si>
    <t>In relazione alla legge 833/78 istitutiva del SSN indicare quale delle seguenti affermazioni è FALSA:</t>
  </si>
  <si>
    <t>Ha previsto la costituzione delle Aziende Sanitarie Locali</t>
  </si>
  <si>
    <t>Medicina Legale; Igiene, Epidemiologia e Statistica</t>
  </si>
  <si>
    <t>ssm202110235654</t>
  </si>
  <si>
    <t>Un uomo di 70 anni, in gioventù, ha lavorato come coibentatore nella cantieristica navale e dieci anni or sono ha subito trattamento radioterapico per un linfoma a localizzazione mediastinica. Da alcuni mesi lamenta dispnea, astenia, febbricola e calo ponderale. L'RX del torace rivela un versamento pleurico sinistro. Sottoposto a toracoscopia, viene effettuato prelievo bioptico sulla pleura parietale. L'indagine istologica depone per un mesotelioma pleurico maligno. Quale tra questi fattori di rischio NON è correlato alla neoplasia?</t>
  </si>
  <si>
    <t>Fumo di sigaretta</t>
  </si>
  <si>
    <t>Pneumologia e Chirurgia Toracica; Medicina del Lavoro</t>
  </si>
  <si>
    <t>Medicina del Lavoro; Oncologia</t>
  </si>
  <si>
    <t>ssm202110235704</t>
  </si>
  <si>
    <t>Un dirigente medico in servizio da ormai 12 anni, quasi tutti i giorni, durante la pausa pranzo si reca presso la mensa della struttura ospedaliera di appartenenza. Stanco del solito menù, un giorno decide di pranzare presso un noto ristorante in centro città. Durante il tragitto in moto, egli viene però investito da un'automobile, riportando una frattura bi-ossea di gamba e alcune escoriazioni. A quale tipologia di indennizzo può accedere il medico, per l'evento occorsogli?</t>
  </si>
  <si>
    <t>Nessun diritto ad indennizzo</t>
  </si>
  <si>
    <t>Medicina Legale; Medicina del Lavoro</t>
  </si>
  <si>
    <t>Medicina del Lavoro; Medicina Legale</t>
  </si>
  <si>
    <t>ssm202110235754</t>
  </si>
  <si>
    <t>Si presenta in consultorio una ragazza di 16 anni alla decima settimana di gravidanza, che esprime volontà di interromperla. Per procedere ad interruzione cosa prevede in questo caso la normativa vigente?</t>
  </si>
  <si>
    <t>La ragazza può essere sottoposta ad interruzione volontaria della gravidanza se esprime l'assenso chi esercita sulla stessa la tutela o la responsabilità genitoriale. In caso di pareri contrari o difformi è necessario che il medico interpelli formalmente il giudice tutelare</t>
  </si>
  <si>
    <t>Medicina Legale; Ginecologia e Ostetricia</t>
  </si>
  <si>
    <t>Ginecologia e Ostetricia; Medicina Legale</t>
  </si>
  <si>
    <t>ssm2022173</t>
  </si>
  <si>
    <t>Quale delle seguenti classi di farmaci chemioterapici è maggiormente associata a cardiotossicità risultante in forma di disfunzione ventricolare sinistra?</t>
  </si>
  <si>
    <t>Antracicline</t>
  </si>
  <si>
    <t>Oncologia; Cardiologia e Cardiochirurgia</t>
  </si>
  <si>
    <t>Cardiologia e Cardiochirurgia; Oncologia</t>
  </si>
  <si>
    <t>ssm2022175</t>
  </si>
  <si>
    <t>Quale delle seguenti classi di farmaci trova un’indicazione per il trattamento sia del diabete mellito sia dello scompenso cardiaco a frazione di eiezione ridotta?</t>
  </si>
  <si>
    <t>Inibitori del cotrasportatore sodio-glucosio tipo 2 (SGLT2i)</t>
  </si>
  <si>
    <t>Cardiologia e Cardiochirurgia; Endocrinologia</t>
  </si>
  <si>
    <t>Endocrinologia; Cardiologia e Cardiochirurgia</t>
  </si>
  <si>
    <t>ssm2022181</t>
  </si>
  <si>
    <t>Quale tra le seguenti è la causa più probabile di versamento pleurico bilaterale alla radiograﬁa del torace in un paziente di sesso maschile di 70 anni che si presenta al Pronto Soccorso con dispnea cronica riacutizzata?</t>
  </si>
  <si>
    <t>Scompenso cardiaco</t>
  </si>
  <si>
    <t>Pneumologia e Chirurgia Toracica; Cardiologia e Cardiochirurgia</t>
  </si>
  <si>
    <t>ssm2022199</t>
  </si>
  <si>
    <t>Un bambino di 2 anni in pieno benessere giunge al Pronto Soccorso per il reperto di massa addominale destra palpabile non dolente. Dopo iniziali accertamenti viene ipotizzata la diagnosi di tumore di Wilms. Quale delle seguenti aﬀermazioni riguardante questa neoplasia infantile è ERRATA?</t>
  </si>
  <si>
    <t>E’ un tumore tipicamente a crescita inﬁltrativa</t>
  </si>
  <si>
    <t>Oncologia; Pediatria</t>
  </si>
  <si>
    <t>ssm2022200</t>
  </si>
  <si>
    <t>Quale delle seguenti aﬀermazioni riguardante la chetoacidosi diabetica in età pediatrica è ERRATA?</t>
  </si>
  <si>
    <t>E’ caratterizzata da acidosi respiratoria</t>
  </si>
  <si>
    <t>ssm2022214</t>
  </si>
  <si>
    <t>Ad una paziente di 50 anni è stato diagnosticato un carcinoma mammario ed è stata posta indicazione a mastectomia skin-sparing. La paziente ha un BMI di 28, non è fumatrice, non assume farmaci e non presenta comorbidità. Quale delle seguenti aﬀermazioni circa le possibilità di ricostruzione della mammella in questa assistita è corretta?</t>
  </si>
  <si>
    <t>La paziente è candidabile anche a ricostruzione autologa con lembi liberi o lembi peduncolati</t>
  </si>
  <si>
    <t>Chirurgia Generale; Oncologia</t>
  </si>
  <si>
    <t>Oncologia; Chirurgia Generale</t>
  </si>
  <si>
    <t>ssm2022240</t>
  </si>
  <si>
    <t>Una paziente di 31 anni, originaria del Perù, presenta dolore e debolezza dell’arto superiore sinistro soprattutto al movimento di iperabduzione (test di Wright positivo), con anche comparsa di parestesie a livello della mano e del polso radiale, omolateralmente. In anamnesi, costa cervicale sovrannumeraria sinistra. Sulla base delle informazioni cliniche a disposizione quale delle seguenti appare la diagnosi più probabile?</t>
  </si>
  <si>
    <t>il test di Wright è un test speciﬁco per diagnosticare la sd dello stretto toracico e la costa cervicale sovrannumeraria è un fattore di rischio patognomonico per tale sindrome. Diﬃcoltà : Facile</t>
  </si>
  <si>
    <t>Ortopedia e Traumatologia; Neurologia e Neurochirurgia</t>
  </si>
  <si>
    <t>ssm2022242</t>
  </si>
  <si>
    <t>Un paziente si presenta dal medico con un piede pallido, dolente, con parestesie e scarsa motilità da qualche ora. Qual’è la diagnosi più probabile?</t>
  </si>
  <si>
    <t>Ischemia acuta</t>
  </si>
  <si>
    <t>ssm2022245</t>
  </si>
  <si>
    <t>Quale gene è più frequentemente mutato nel melanoma cutaneo?</t>
  </si>
  <si>
    <t>BRAF</t>
  </si>
  <si>
    <t>Oncologia; Dermatologia e Venereologia</t>
  </si>
  <si>
    <t>Dermatologia e Venereologia; Oncologia</t>
  </si>
  <si>
    <t>ssm2022256</t>
  </si>
  <si>
    <t>Un soggetto di sesso maschile, con precedenti penali per traﬃco di droga, giunge in coma al Pronto Soccorso con sospetto di ingestione di "ovuli" con sostanze stupefacenti. Quale metodica rappresenta il gold standard per la visualizzazione di detti "ovuli" nel tratto gastroenterico?</t>
  </si>
  <si>
    <t>TC senza mezzo di contrasto</t>
  </si>
  <si>
    <t>Diagnostica per Immagini e Medicina Nucleare; Medicina Legale</t>
  </si>
  <si>
    <t>Farmacologia e Tossicologia; Diagnostica per Immagini e Medicina Nucleare</t>
  </si>
  <si>
    <t>ssm2022257</t>
  </si>
  <si>
    <t>A seguito di crisi comiziale generalizzata un paziente di 55 anni viene sottoposto ad accertamenti diagnostici in Pronto Soccorso che evidenziano una lesione sovra-tentoriale sospetta per glioma ad alto grado. Il paziente viene sottoposto ad exeresi macroscopicamente radicale con diagnosi di glioblastoma multiforme, MGMT metilato. Alla dimissione il paziente presenta buone condizioni generali, senza sintomatologia neurologica focale. Quale percorso terapeutico è più appropriato?</t>
  </si>
  <si>
    <t>Radioterapia focale associata a Temozolomide concomitante e adiuvante</t>
  </si>
  <si>
    <t>Oncologia; Neurologia e Neurochirurgia</t>
  </si>
  <si>
    <t>Neurologia e Neurochirurgia; Oncologia</t>
  </si>
  <si>
    <t>ssm2022261</t>
  </si>
  <si>
    <t>In un paziente politraumatizzato in cui è stato diagnosticato ematoma intracerebrale, pneumotorace e rottura di milza, la sequenza degli interventi è:</t>
  </si>
  <si>
    <t>Drenaggio Pnx, laparotomia, evacuazione ematoma intracerebrale</t>
  </si>
  <si>
    <t>Chirurgia Generale; Neurologia e Neurochirurgia</t>
  </si>
  <si>
    <t>ssm2022265</t>
  </si>
  <si>
    <t>Indicare l’aﬀermazione corretta riferibile alla manovra di tracheostomia:</t>
  </si>
  <si>
    <t>La tracheostomia può essere eseguita con tecnica open "chirurgica" o con tecnica "percutanea" dilatativa</t>
  </si>
  <si>
    <t>Otorinolaringoiatria; Anestesia e Rianimazione</t>
  </si>
  <si>
    <t>Anestesia e Rianimazione; Otorinolaringoiatria</t>
  </si>
  <si>
    <t>ssm2022268</t>
  </si>
  <si>
    <t>Qualora un uomo risultasse positivo al test genetico per la ricerca di mutazioni del gene BRCA2, in quale tra i seguenti organi avrebbe un rischio sensibilmente aumentato di sviluppare una neoplasia?</t>
  </si>
  <si>
    <t>Prostata</t>
  </si>
  <si>
    <t>Oncologia; Genetica Medica</t>
  </si>
  <si>
    <t>Genetica Medica; Oncologia</t>
  </si>
  <si>
    <t>ssm2022275</t>
  </si>
  <si>
    <t>I vaccini anti SARS-CoV-2, a mRNA e a vettore virale, utilizzati per la campagna di vaccinazione in Italia:</t>
  </si>
  <si>
    <t>Mirano a stimolare una risposta immunitaria nei confronti della proteina Spike che viene sintetizzata in vivo</t>
  </si>
  <si>
    <t>Malattie Infettive; Igiene, Epidemiologia e Statistica</t>
  </si>
  <si>
    <t>ssm2023455</t>
  </si>
  <si>
    <t>Un uomo di 55 anni affetto da molto tempo da disturbi dispeptici viene alla osservazione per una tumefazione della fossa clavicolare sinistra (Segno di Troisier). Qual è il sospetto diagnostico più verosimile tra i seguenti?</t>
  </si>
  <si>
    <t>Tumore dello stomaco</t>
  </si>
  <si>
    <t>ssm2023456</t>
  </si>
  <si>
    <t>Un uomo di 62 anni ha di recente sviluppato un diabete mellito con costante perdita di peso e dolore puntorio localizzato ai quadranti superiori dell’addome ed irradiato al dorso. Qual è il sospetto diagnostico più probabile tra i seguenti?</t>
  </si>
  <si>
    <t>Tumore del pancreas avanzato</t>
  </si>
  <si>
    <t>ssm2023459</t>
  </si>
  <si>
    <t>Un uomo di 70 anni è affetto da adenocarcinoma del retto localizzato a 5 cm dal margine anale esterno, cT3N1M0. Quale delle seguenti strategie terapeutiche è la più appropriata?</t>
  </si>
  <si>
    <t>Chemiadioterapia neoadiuvante, ristadiazione, chirurgia</t>
  </si>
  <si>
    <t>ssm2023466</t>
  </si>
  <si>
    <t>Una gestante di 45 anni alla diciassettesima settimana di gravidanza, con bitest risultato ad alto rischio per un’elevata translucenza nucale, si sottopone ad amniocentesi. Il risultato del cariotipo fetale evidenzia una trisomia del cromosoma 13 che determina la seguente sindrome:</t>
  </si>
  <si>
    <t>Patau</t>
  </si>
  <si>
    <t>ssm2023476</t>
  </si>
  <si>
    <t>Quale delle seguenti è la più frequente lesione neoplastica dello scheletro?</t>
  </si>
  <si>
    <t>Metastasi ossea</t>
  </si>
  <si>
    <t>Ortopedia e Traumatologia; Oncologia</t>
  </si>
  <si>
    <t>Oncologia; Ortopedia e Traumatologia</t>
  </si>
  <si>
    <t>ssm2023481</t>
  </si>
  <si>
    <t>Un bambino di tre anni viene portato in Pronto Soccorso perché ha ingerito un numero imprecisato di compresse di acido acetilsalicilico. All’ingresso il bambino accusa vertigini soggettive, ha vomito, e all’obiettività si evidenzia tachipnea. Quale dei seguenti provvedimenti NON è corretto?</t>
  </si>
  <si>
    <t>Infondere rapidamente abbondanti liquidi per forzare la diuresi</t>
  </si>
  <si>
    <t>Pediatria; Farmacologia e Tossicologia</t>
  </si>
  <si>
    <t>Farmacologia e Tossicologia; Pediatria</t>
  </si>
  <si>
    <t>ssm2023483</t>
  </si>
  <si>
    <t>Viene ricoverato un bambino di cinque anni che presenta un rash cutaneo purpureo palpabile localizzato in particolare agli arti inferiori, dolori addominali associati a tracce ematiche nelle feci, dolore articolare, tumefazione alle ginocchia ed ematuria macroscopica. Quale tra le seguenti è la diagnosi più probabile?</t>
  </si>
  <si>
    <t>Porpora di Schonlein-Henoch</t>
  </si>
  <si>
    <t>ssm2023484</t>
  </si>
  <si>
    <t>Una ragazza di 12 anni presenta da alcuni giorni un quadro clinico in progressivo peggioramento, caratterizzato da labilità emotiva e continui brevi ed involontari movimenti degli arti e della mimica facciale, non presenti durante il sonno. La ragazza due mesi fa circa ha sofferto di una tonsillite febbrile, accompagnata da malessere e tumefazione dolente dei linfonodi sottomandibolari e seguita da dolore e tumefazione migranti alle articolazioni delle ginocchia. Quale tra le seguenti è la diagnosi più probabile?</t>
  </si>
  <si>
    <t>Corea di Sydenham</t>
  </si>
  <si>
    <t>Pediatria; Neurologia e Neurochirurgia</t>
  </si>
  <si>
    <t>Neurologia e Neurochirurgia; Pediatria</t>
  </si>
  <si>
    <t>ssm2023485</t>
  </si>
  <si>
    <t>Un bambino di cinque anni con storia di trauma cranico accidentale occorso cadendo da circa un metro d’altezza, arriva in Pronto Soccorso. All’ingresso il bambino è vigile, orientato ed ha un esame obiettivo generale e neurologico negativo e ricorda e descrive l’accaduto. Lamenta soltanto una cefalea di media entità. Il bambino dopo il trauma ha pianto subito ed ha vomitato. Quale tra i seguenti comportamenti clinici è il più indicato?</t>
  </si>
  <si>
    <t>Rassicurare i genitori e trattenere il bambino per un periodo di osservazione clinica in Pronto Soccorso</t>
  </si>
  <si>
    <t>ssm2023486</t>
  </si>
  <si>
    <t>Un lattante di dieci mesi di origini nigeriane, in Italia da poche settimane, giunge in Pronto Soccorso per pianto inconsolabile. Non presenta febbre. Alla valutazione clinica si osservano irritabilità, tachicardia ed edema di tre dita della mano destra, che appaiono calde ed eritematose. La restante obiettività clinica è nella norma, ad eccezione di modica epatosplenomegalia. Qual è l’ipotesi diagnostica più probabile?</t>
  </si>
  <si>
    <t>Drepanocitosi</t>
  </si>
  <si>
    <t>Pediatria; Ematologia</t>
  </si>
  <si>
    <t>Ematologia; Pediatria</t>
  </si>
  <si>
    <t>ssm2023487</t>
  </si>
  <si>
    <t>Arriva in Pronto Soccorso un lattante di tre mesi con tosse e “wheezing”, che presenta all’obiettività rientramenti intercostali, alitamento delle pinne nasali, bilancia toraco-addominale ed aumento della frequenza respiratoria e cardiaca. Non è febbrile, ma viene riferita scarsa assunzione di latte da alcune ore. Nel sospetto di bronchiolite quale comportamento clinico tra i seguenti è più corretto assumere in questo caso?</t>
  </si>
  <si>
    <t>Somministrare ossigeno se la SpO2 in aria ambiente è inferiore al 94%, posizionare un accesso venoso e disporre il ricovero</t>
  </si>
  <si>
    <t>Pediatria; Pneumologia e Chirurgia Toracica</t>
  </si>
  <si>
    <t>Pneumologia e Chirurgia Toracica; Pediatria</t>
  </si>
  <si>
    <t>ssm2023488</t>
  </si>
  <si>
    <t>Viene portata dal pediatra una bambina di quattro anni che lamenta da alcuni giorni artralgie migranti e mialgie. L’esame obiettivo è sostanzialmente negativo. La madre riferisce che una settimana prima dell’esordio della sintomatologia aveva notato nella bambina la presenza di un’area eritematosa, con zona centrale più pallida sulla superficie posteriore della gamba sinistra, a livello del cavo popliteo, durata parecchi giorni e risoltasi spontaneamente. La bambina era stata in vacanza in una zona collinare del Friuli-Venezia Giulia. Quale tra le seguenti ipotesi diagnostiche è la più probabile?</t>
  </si>
  <si>
    <t>Malattia di Lyme</t>
  </si>
  <si>
    <t>Pediatria; Malattie Infettive</t>
  </si>
  <si>
    <t>Malattie Infettive; Pediatria</t>
  </si>
  <si>
    <t>ssm2023517</t>
  </si>
  <si>
    <t>Un uomo di 30 anni viene rinvenuto in un giardino pubblico dal personale del 118 privo di coscienza, bradipnoico e con polso conservato. Sono evidenti segni di recente venopuntura ed è presente un laccio emostatico. Le pupille sono miotiche, la pressione è 90/60 mmHg. Il farmaco da somministrare tra i seguenti è:</t>
  </si>
  <si>
    <t>Naloxone</t>
  </si>
  <si>
    <t>ssm2023518</t>
  </si>
  <si>
    <t>Un uomo di 80 anni presenta da alcuni giorni febbre e otalgia per cui ha utilizzato antibiotico topico. Per la persistenza della sintomatologia il paziente si reca in Pronto Soccorso. Gli accertamenti laboratoristici rilevano una leucocitosi neutrofila e aumento della proteina C reattiva. Durante l’osservazione al PS il paziente sviluppa un picco febbrile con rigidità nucale e successiva riduzione dello stato di coscienza fino al coma. Tra le seguenti l’ipotesi più probabile è che il paziente abbia sviluppato:</t>
  </si>
  <si>
    <t>Una meningite secondaria a otite da Streptococcus pneumoniae</t>
  </si>
  <si>
    <t>Otorinolaringoiatria; Malattie Infettive</t>
  </si>
  <si>
    <t>Malattie Infettive; Otorinolaringoiatria</t>
  </si>
  <si>
    <t>ssm2023520</t>
  </si>
  <si>
    <t>Una donna di 59 anni, nepalese, non fumatrice, giunta in Italia da circa un mese, si presenta dal medico con tosse, febbricola serotina ed un recente episodio di emottisi. Riferisce calo ponderale di 2 Kg negli ultimi 2 mesi, nessuna comorbidità. Quale tra le seguenti è la diagnosi più probabile?</t>
  </si>
  <si>
    <t>Tubercolosi polmonare</t>
  </si>
  <si>
    <t>Pneumologia e Chirurgia Toracica; Malattie Infettive</t>
  </si>
  <si>
    <t>Malattie Infettive; Pneumologia e Chirurgia Toracica</t>
  </si>
  <si>
    <t>ssm2023547</t>
  </si>
  <si>
    <t>Donna di 22 anni, accede al Pronto Soccorso per incidente stradale. Riferisce dolore addominale diffuso. PA: 130/70 mmHg, SpO2 97% in aria ambiente. ECO-FAST dubbia. Qual è l’indagine più appropriata per l’inquadramento diagnostico terapeutico tra le seguenti?</t>
  </si>
  <si>
    <t>TC spirale dell’addome con MdC</t>
  </si>
  <si>
    <t>ssm2023548</t>
  </si>
  <si>
    <t>Paziente di 87 anni con dolore in regione dorsale. Quali reperti di rilievo si possono evidenziare in queste immagini RX e TC?</t>
  </si>
  <si>
    <t>Crollo vertebrale dorsale</t>
  </si>
  <si>
    <t>Diagnostica per Immagini e Medicina Nucleare; Ortopedia e Traumatologia</t>
  </si>
  <si>
    <t>Ortopedia e Traumatologia; Diagnostica per Immagini e Medicina Nucleare</t>
  </si>
  <si>
    <t>ssm2023551</t>
  </si>
  <si>
    <t>Donna, 23 anni, da circa due mesi presenta nodulo del quadrante superiore interno della mammella sinistra che, riferisce, è in accrescimento. Quando l’assistita si presenta al curante il nodulo è di 2,2 cm, clinicamente a margini netti, mobile, di consistenza teso-elastica. Viene eseguita biopsia eco-guidata il cui esame istologico mostra: “Lesione fibroepiteliale a cellularità stromale diffusamente aumentata in assenza di atipie; proliferazione ghiandolare con note di iperplasia duttale senza atipie. È presente 1 mitosi/10 HPF”. In base al quadro clinico e a quello istologico, quale è la diagnosi più probabile tra le seguenti?</t>
  </si>
  <si>
    <t>Oncologia</t>
  </si>
  <si>
    <t>ssm2023560</t>
  </si>
  <si>
    <t>Indicare, quale delle seguenti affermazioni concernenti Il Servizio Sanitario Nazionale è corretta:</t>
  </si>
  <si>
    <t>I Livelli Essenziali di Assistenza (LEA) sono costituiti dall’insieme delle attività, dei servizi e delle prestazioni che il Servizio Sanitario Nazionale eroga a tutti i cittadini gratuitamente o con il pagamento di un ticket, indipendentemente dal reddito e dal luogo di residenza</t>
  </si>
  <si>
    <t>ssm2023571</t>
  </si>
  <si>
    <t>Una paziente di 62 anni viene sottoposta in anestesia generale al posizionamento di uno stent ureterale per calcolosi renale. Non si registrano complicanze intraoperatorie. Al risveglio presenta brivido scuotente, tachipnea, tachicardia. I parametri vitali sono: GCS 14/15, SpO2 99% in aria ambiente, PA 140/100 mmHg, temperatura di 39,5 gradi centigradi. Quale tra le seguenti è la diagnosi più probabile?</t>
  </si>
  <si>
    <t>Urosepsi</t>
  </si>
  <si>
    <t>Malattie Infettive; Urologia</t>
  </si>
  <si>
    <t>Anestesia e Rianimazione; Malattie Infettive</t>
  </si>
  <si>
    <t>ssm2023575</t>
  </si>
  <si>
    <t>La riabilitazione propriocettiva si prefigge:</t>
  </si>
  <si>
    <t>Il recupero del controllo motorio tramite la stimolazione di afferenze cinestesiche</t>
  </si>
  <si>
    <t>Ortopedia e Traumatologia</t>
  </si>
  <si>
    <t>ssm2023577</t>
  </si>
  <si>
    <t>Un uomo di 36 anni asmatico si presenta in Pronto Soccorso per una esacerbazione grave dell’asma. La sintomatologia migliora dopo somministrazione di salbutamolo per via inalatoria. Quale dei seguenti meccanismi prioritariamente può spiegare l'effetto farmacologico dei farmaci beta-2-agonisti?</t>
  </si>
  <si>
    <t>Aumento della AMP ciclico nelle cellule muscolari lisce tracheo-bronchiali</t>
  </si>
  <si>
    <t>Farmacologia e Tossicologia; Pneumologia e Chirurgia Toracica</t>
  </si>
  <si>
    <t>Pneumologia e Chirurgia Toracica; Farmacologia e Tossicologia</t>
  </si>
  <si>
    <t>ssm2023578</t>
  </si>
  <si>
    <t>Un uomo di 62 anni è in trattamento con furosemide, digossina e ramipril per uno scompenso cardiaco a bassa frazione di eiezione. Sebbene la terapia abbia migliorato la performance cardiaca e la qualità di vita, il soggetto si reca dal proprio medico curante lamentandosi della difficoltà ad urinare nelle ultime 24 ore. Il medico, non rilevando segni di deplezione intravascolare di volume, aumenta la dose di furosemide. Tuttavia, a distanza di 6 ore, non ci sono miglioramenti. Il paziente stava assumendo autonomamente ibuprofene 1200 mg/die per la comparsa di dolore alla gamba durante la deambulazione. Quale dei seguenti meccanismi è più probabilmente responsabile dell’oliguria?</t>
  </si>
  <si>
    <t>Riduzione del filtrato glomerulare a causa della terapia con ibuprofene</t>
  </si>
  <si>
    <t>Farmacologia e Tossicologia; Nefrologia</t>
  </si>
  <si>
    <t>ssm2023583</t>
  </si>
  <si>
    <t>Una donna di 75 anni, con calcolosi multipla della colecisti nota da anni, giunge al Pronto Soccorso in gravi condizioni di shock (ipovolemia, tachicardia, sudorazione, febbre, subittero) dopo un episodio di colica insorto tre giorni prima e trattato con antispastici a domicilio. Qual è la diagnosi più probabile tra le seguenti?</t>
  </si>
  <si>
    <t>Pancreatite acuta</t>
  </si>
  <si>
    <t>Chirurgia Generale; Gastroenterologia</t>
  </si>
  <si>
    <t>ssm2023593</t>
  </si>
  <si>
    <t>Le ulcere sono:</t>
  </si>
  <si>
    <t>Lesioni di continuo che non tendono alla guarigione spontanea</t>
  </si>
  <si>
    <t>ssm2023619</t>
  </si>
  <si>
    <t>Una donna di 50 anni esegue una TC con mdc che evidenzia la presenza di una formazione a contenuto liquido del polo inferiore del rene destro, con spessi setti e zone solide al suo interno che assumono contrasto. Il quadro radiologico è compatibile con:</t>
  </si>
  <si>
    <t>Cisti renale Bosniak IV</t>
  </si>
  <si>
    <t>ssm2023626</t>
  </si>
  <si>
    <t>Un uomo di 74 anni è ricoverato per una grave sindrome nefrosica, che si caratterizza per una proteinuria di 10 g/die, associata ad edemi periferici e insufficienza renale (creatininemia 2,8 mg/dL). Nel plasma si riscontra componente monoclonale IgG lambda pari a circa 650 mg/dL. La biopsia del midollo osseo dimostra la presenza di sparse plasmacellule, &lt; 10% della cellularità. Quale tra le seguenti è la diagnosi più verosimile?</t>
  </si>
  <si>
    <t>Amiloidosi AL</t>
  </si>
  <si>
    <t>Nefrologia; Ematologia</t>
  </si>
  <si>
    <t>Ematologia; Nefrologia</t>
  </si>
  <si>
    <t>ssm2023659</t>
  </si>
  <si>
    <t>Quale dei seguenti farmaci ha come controindicazione assoluta l’uso durante una riacutizzazione asmatica?</t>
  </si>
  <si>
    <t>Adenosina</t>
  </si>
  <si>
    <t>ssm2023668</t>
  </si>
  <si>
    <t>Un paziente di 60 anni, a seguito di episodio di ematuria, con anamnesi patologica muta ed esami ematochimici nella norma, effettua un’ecografia della vescica che pone il sospetto di tumore vescicale. Il paziente viene sottoposto a cistoscopia con resezione transuretrale stadiante. L’esame istologico depone per “carcinoma uroteliale infiltrante il muscolo”. Le indagini strumentali di stadiazione mostrano la presenza di multiple metastasi linfonodali ed ossee. Quale tra i seguenti trattamenti chemioterapici è indicato?</t>
  </si>
  <si>
    <t>Cisplatino-Gemcitabina</t>
  </si>
  <si>
    <t>Oncologia; Urologia</t>
  </si>
  <si>
    <t>ssm2023670</t>
  </si>
  <si>
    <t>Un bambino di dieci anni arriva in Pronto Soccorso per febbre elevata, tosse catarrale e secrezione nasale da cinque giorni. Alla valutazione clinica riscontro di edema ed iperemia palpebrale sinistra con cefalea frontale, riferita da 2 giorni e dolore alla rotazione dei bulbi oculari. Agli esami ematochimici leucocitosi neutrofila (GB 19.530/mmc, N 79.6%) e importante aumento degli indici di flogosi (PCR 17.64 mg/dL, PCT 15.6 ng/mL). Quale tra le seguenti è la diagnosi più probabile?</t>
  </si>
  <si>
    <t>Cellulite orbitaria post-settale</t>
  </si>
  <si>
    <t>Otorinolaringoiatria; Pediatria</t>
  </si>
  <si>
    <t>Oftalmologia; Pediatria</t>
  </si>
  <si>
    <t>ssm2023681</t>
  </si>
  <si>
    <t>Una donna di 65 anni affetta da gonalgia sinistra, di origine artrosica e trattata recentemente con iniezioni intra-articolari di acido ialuronico, si rivolge al pronto soccorso per improvvisa tumefazione del ginocchio sinistro, insorgenza di febbre (TC 38.2°C) e malessere generale. Agli esami di laboratorio si evidenzia un marcato rialzo degli indici di flogosi e leucocitosi neutrofila. Quale tra i seguenti esami andrà tempestivamente eseguito?</t>
  </si>
  <si>
    <t>Esame citochimico e colturale del liquido sinoviale</t>
  </si>
  <si>
    <t>Immunologia e Reumatologia; Ortopedia e Traumatologia</t>
  </si>
  <si>
    <t>Ortopedia e Traumatologia; Malattie Infettive</t>
  </si>
  <si>
    <t>ssm2023711</t>
  </si>
  <si>
    <t>Maschio di 66 anni presenta una anemia severa (Hb 4,9 g/dL), microcitica (MCV 64,4 fL) e ipocromica (MCH 19,9 pg). L’assetto marziale evidenzia una sideremia di 17 µg/dL (valori di riferimento: 37 - 145 µg/dL) e una ferritinemia di 2 ng/mL (valori di riferimento: 15 - 200 ng/mL). Quale delle seguenti condizioni va considerata per prima?</t>
  </si>
  <si>
    <t>Emorragia cronica di origine gastroenterica</t>
  </si>
  <si>
    <t>Ematologia; Gastroenterologia</t>
  </si>
  <si>
    <t>Gastroenterologia; Ematologia</t>
  </si>
  <si>
    <t>ssm2023719</t>
  </si>
  <si>
    <t>Un paziente di 89 anni presenta una estesa lesione parzialmente ulcerata della cute del naso non trattabile chirurgicamente. Quale delle seguenti diagnosi istologiche costituisce un’indicazione alla radioterapia?</t>
  </si>
  <si>
    <t>Carcinoma spinocellulare</t>
  </si>
  <si>
    <t>ssm2025862</t>
  </si>
  <si>
    <t>Un uomo di 75 anni affetto da cirrosi epatica HCV relata, esegue una TC addome con riscontro di nodulo epatico di 22 mm di diametro con il seguente comportamento contrasto-grafico: wash-in in fase arteriosa e wash-out in fase venosa. Qual è la diagnosi più probabile?</t>
  </si>
  <si>
    <t>Epatocarcinoma</t>
  </si>
  <si>
    <t>ssm2025864</t>
  </si>
  <si>
    <t>Una paziente di 40 anni, portatrice di mutazione del gene BRCA1, attualmente sana, è in lista per intervento di mastectomia profilattica bilaterale (risk reducing). Quale strategia è la più appropriata fra le seguenti?</t>
  </si>
  <si>
    <t>Nessuna procedura sul cavo ascellare</t>
  </si>
  <si>
    <t>ssm2025867</t>
  </si>
  <si>
    <t>Quale delle seguenti è una controindicazione assoluta al trapianto di fegato per metastasi epatiche da adenocarcinoma del colon retto?</t>
  </si>
  <si>
    <t>Carcinosi peritoneale</t>
  </si>
  <si>
    <t>ssm2025868</t>
  </si>
  <si>
    <t>Una paziente di 34 anni, con diagnosi di morbo di Crohn da 10 anni, si presenta in ambulatorio con dolore addominale cronico localizzato in fossa iliaca destra, diarrea intermittente e perdita di peso di circa 8 kg negli ultimi sei mesi. Poichè non risponde più adeguatamente alla terapia medica, si decide di procedere chirurgicamente. Tutte le seguenti procedure possono trovare indicazione nella terapia chirurgica del morbo di Crohn, TRANNE</t>
  </si>
  <si>
    <t>miotomia extramucosa di Heller</t>
  </si>
  <si>
    <t>Gastroenterologia; Chirurgia Generale</t>
  </si>
  <si>
    <t>ssm2025875</t>
  </si>
  <si>
    <t>Un aneurisma dell'aorta addominale sotto-renale di 7 centimetri asintomatico viene scoperto in un uomo di 70 anni che non ha altre problematiche di salute. Il programma terapeutico appropriato consiste in</t>
  </si>
  <si>
    <t>correzione in elezione dell'aneurisma</t>
  </si>
  <si>
    <t>Chirurgia Generale; Cardiologia e Cardiochirurgia</t>
  </si>
  <si>
    <t>ssm2025900</t>
  </si>
  <si>
    <t>La mutazione germinale di quale gene tra i seguenti predispone ad un aumentato rischio di adenocarcinoma prostatico?</t>
  </si>
  <si>
    <t>BRCA2</t>
  </si>
  <si>
    <t>Urologia; Genetica Medica</t>
  </si>
  <si>
    <t>ssm2025915</t>
  </si>
  <si>
    <t>All’elettrocardiogramma eseguito ad una paziente di 70 anni in terapia farmacologica viene misurato un intervallo QT corretto per la frequenza cardiaca pari a 0,5 secondi. Quale tra i seguenti farmaci più frequentemente può provocare un allungamento del tempo QT?</t>
  </si>
  <si>
    <t>Amiodarone</t>
  </si>
  <si>
    <t>ssm2025916</t>
  </si>
  <si>
    <t>Un giovane di 25 anni viene ricoverato nell’Unità Operativa di Cardiologia. Presenta ipertensione arteriosa grave (190/120 mmHg) che riferisce essere insorta recentemente e resistente alla politerapia farmacologica. All’esame obiettivo si rileva un soffio addominale in sede paraombelicale. Vengono eseguiti gli esami ematochimici da cui risultano valori di potassio sierico 2,6 mEq/L. Quale tra i seguenti è il sospetto clinico più probabile?</t>
  </si>
  <si>
    <t>Nefrologia; Cardiologia e Cardiochirurgia</t>
  </si>
  <si>
    <t>ssm2025928</t>
  </si>
  <si>
    <t>Il medico del 118 interviene a casa di un paziente noto cardiopatico che nel corso della giornata aveva presentato dolore toracico. Durante la monitorizzazione elettrocardiografica il paziente perde coscienza e va in arresto cardiorespiratorio. Il ritmo d’esordio al monitor è compatibile con tachicardia ventricolare monomorfa. L’intervento immediato prevede RCP ed in prima istanza</t>
  </si>
  <si>
    <t>defibrillazione elettrica</t>
  </si>
  <si>
    <t>Cardiologia e Cardiochirurgia; Anestesia e Rianimazione</t>
  </si>
  <si>
    <t>ssm2025991</t>
  </si>
  <si>
    <t>Donna di 35 anni in buona salute presenta all’esecuzione di esami di controllo il seguente quadro laboratoristico: Hb 13,5 g/dL, MCV 82 fL, ferritina 1000 ng/mL, indice di saturazione della transferrina 75%, AST e ALT moderatamente elevate. Quale tra le seguenti ipotesi diagnostiche è più probabile?</t>
  </si>
  <si>
    <t>Emocromatosi</t>
  </si>
  <si>
    <t>ssm2025993</t>
  </si>
  <si>
    <t>Donna, 74 anni, esegue approfondimento di imaging a seguito di riscontro ecografico di area ipoecogena al passaggio testa-corpo pancreatico. Quale tra le seguenti è la principale metodica utilizzata per la diagnosi e la stadiazione del tumore pancreatico?</t>
  </si>
  <si>
    <t>TC senza e con mdc</t>
  </si>
  <si>
    <t>Gastroenterologia; Diagnostica per Immagini e Medicina Nucleare</t>
  </si>
  <si>
    <t>ssm2025994</t>
  </si>
  <si>
    <t>Uomo, 65 anni, obeso, affetto da ipertensione arteriosa e da diabete mellito di tipo 2, portatore di duplice stent coronarico esegue ecografia dell’addome che evidenzia grave steatosi epatica. Quale tra i seguenti NON è un segno ecografico di steatosi epatica?</t>
  </si>
  <si>
    <t>Dilatazione delle vie biliari intra-epatiche</t>
  </si>
  <si>
    <t>Diagnostica per Immagini e Medicina Nucleare; Gastroenterologia</t>
  </si>
  <si>
    <t>ssm2025995</t>
  </si>
  <si>
    <t>Uomo di 57 anni, a seguito di riscontro di anemia e positività al sangue occulto nelle feci, ha eseguito pancolonscopia con diagnosi di tumore del retto medio. Quale tra le seguenti metodiche di imaging è la più indicata per la stadiazione locale di malattia?</t>
  </si>
  <si>
    <t>RM addome inferiore senza mdc</t>
  </si>
  <si>
    <t>ssm2025997</t>
  </si>
  <si>
    <t>Una donna di 45 anni, senza patologie croniche note, si presenta in Pronto Soccorso riferendo febbricola persistente, sudorazione notturna e tosse produttiva da circa 3 settimane. Un esame TC del torace mostra una lesione cavitata in comunicazione con il bronco ed opacità nodulari. Quale tra le seguenti è l'ipotesi diagnostica più probabile?</t>
  </si>
  <si>
    <t>Risposta Corretta</t>
  </si>
  <si>
    <t>Ginecologia e Ostetricia</t>
  </si>
  <si>
    <t>Pediatria</t>
  </si>
  <si>
    <t>Urologia</t>
  </si>
  <si>
    <t>Immunologia e Reumatologia</t>
  </si>
  <si>
    <t>Psichiatria</t>
  </si>
  <si>
    <t>Oftalmologia</t>
  </si>
  <si>
    <t>Medicina del Lavoro</t>
  </si>
  <si>
    <t>Diagnostica per Immagini e Medicina Nucleare</t>
  </si>
  <si>
    <t>Genetica Medica</t>
  </si>
  <si>
    <t>Nutrizione Clinica</t>
  </si>
  <si>
    <t>Medicina Interna</t>
  </si>
  <si>
    <t>CATEGORIA FINALE 1 (compilare)</t>
  </si>
  <si>
    <t>CATEGORIA FINALE 2 (compilare)</t>
  </si>
  <si>
    <t>CATEGORIA FINALE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</si>
</sst>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5">
    <fill>
      <patternFill patternType="none"/>
    </fill>
    <fill>
      <patternFill patternType="gray125"/>
    </fill>
    <fill>
      <patternFill patternType="solid">
        <fgColor rgb="FFFFFF00"/>
        <bgColor rgb="FFFFFF00"/>
      </patternFill>
    </fill>
    <fill>
      <patternFill patternType="solid">
        <fgColor rgb="FF90EE90"/>
        <bgColor rgb="FF90EE90"/>
      </patternFill>
    </fill>
    <fill>
      <patternFill patternType="solid">
        <fgColor rgb="FFE8F5E9"/>
        <bgColor rgb="FFE8F5E9"/>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1" fillId="3" borderId="0" xfId="0" applyFont="1" applyFill="1"/>
    <xf numFmtId="0" fontId="0" fillId="0" borderId="0" xfId="0" applyAlignment="1">
      <alignment vertical="top" wrapText="1"/>
    </xf>
    <xf numFmtId="0" fontId="0" fillId="4" borderId="0" xfId="0" applyFill="1"/>
  </cellXfs>
  <cellStyles count="1">
    <cellStyle name="Normale"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7"/>
  <sheetViews>
    <sheetView tabSelected="1" topLeftCell="E1" zoomScale="86" workbookViewId="0">
      <selection activeCell="I2" sqref="I2"/>
    </sheetView>
  </sheetViews>
  <sheetFormatPr defaultRowHeight="14.4" x14ac:dyDescent="0.55000000000000004"/>
  <cols>
    <col min="1" max="1" width="6" customWidth="1"/>
    <col min="2" max="2" width="8" customWidth="1"/>
    <col min="3" max="3" width="16" customWidth="1"/>
    <col min="4" max="4" width="80" customWidth="1"/>
    <col min="5" max="5" width="40" customWidth="1"/>
    <col min="6" max="7" width="68.3671875" bestFit="1" customWidth="1"/>
    <col min="8" max="9" width="40" customWidth="1"/>
    <col min="10" max="10" width="16.7890625" bestFit="1" customWidth="1"/>
    <col min="11" max="11" width="39.9453125" hidden="1" customWidth="1"/>
  </cols>
  <sheetData>
    <row r="1" spans="1:11" x14ac:dyDescent="0.55000000000000004">
      <c r="A1" s="1" t="s">
        <v>0</v>
      </c>
      <c r="B1" s="1" t="s">
        <v>1</v>
      </c>
      <c r="C1" s="1" t="s">
        <v>2</v>
      </c>
      <c r="D1" s="1" t="s">
        <v>3</v>
      </c>
      <c r="E1" s="1" t="s">
        <v>538</v>
      </c>
      <c r="F1" s="2" t="s">
        <v>4</v>
      </c>
      <c r="G1" s="2" t="s">
        <v>5</v>
      </c>
      <c r="H1" s="3" t="s">
        <v>550</v>
      </c>
      <c r="I1" s="3" t="s">
        <v>551</v>
      </c>
      <c r="J1" s="3" t="s">
        <v>552</v>
      </c>
    </row>
    <row r="2" spans="1:11" ht="43.2" x14ac:dyDescent="0.55000000000000004">
      <c r="A2">
        <v>2017</v>
      </c>
      <c r="B2">
        <v>8</v>
      </c>
      <c r="C2" t="s">
        <v>6</v>
      </c>
      <c r="D2" s="4" t="s">
        <v>7</v>
      </c>
      <c r="E2" s="4" t="s">
        <v>8</v>
      </c>
      <c r="F2" t="s">
        <v>9</v>
      </c>
      <c r="G2" t="s">
        <v>10</v>
      </c>
      <c r="H2" s="5" t="s">
        <v>128</v>
      </c>
      <c r="I2" s="5"/>
      <c r="J2" t="str">
        <f>IF(I2&lt;&gt;"", H2&amp;"; "&amp;I2,H2)</f>
        <v>Anestesia e Rianimazione</v>
      </c>
      <c r="K2" t="s">
        <v>128</v>
      </c>
    </row>
    <row r="3" spans="1:11" ht="57.6" x14ac:dyDescent="0.55000000000000004">
      <c r="A3">
        <v>2017</v>
      </c>
      <c r="B3">
        <v>20</v>
      </c>
      <c r="C3" t="s">
        <v>11</v>
      </c>
      <c r="D3" s="4" t="s">
        <v>12</v>
      </c>
      <c r="E3" s="4" t="s">
        <v>13</v>
      </c>
      <c r="F3" t="s">
        <v>14</v>
      </c>
      <c r="G3" t="s">
        <v>15</v>
      </c>
      <c r="H3" s="5"/>
      <c r="I3" s="5"/>
      <c r="J3">
        <f t="shared" ref="J3:J66" si="0">IF(I3&lt;&gt;"", H3&amp;"; "&amp;I3,H3)</f>
        <v>0</v>
      </c>
      <c r="K3" t="s">
        <v>145</v>
      </c>
    </row>
    <row r="4" spans="1:11" ht="57.6" x14ac:dyDescent="0.55000000000000004">
      <c r="A4">
        <v>2017</v>
      </c>
      <c r="B4">
        <v>26</v>
      </c>
      <c r="C4" t="s">
        <v>16</v>
      </c>
      <c r="D4" s="4" t="s">
        <v>17</v>
      </c>
      <c r="E4" s="4" t="s">
        <v>18</v>
      </c>
      <c r="F4" t="s">
        <v>15</v>
      </c>
      <c r="G4" t="s">
        <v>19</v>
      </c>
      <c r="H4" s="5"/>
      <c r="I4" s="5"/>
      <c r="J4">
        <f t="shared" si="0"/>
        <v>0</v>
      </c>
      <c r="K4" t="s">
        <v>44</v>
      </c>
    </row>
    <row r="5" spans="1:11" x14ac:dyDescent="0.55000000000000004">
      <c r="A5">
        <v>2017</v>
      </c>
      <c r="B5">
        <v>39</v>
      </c>
      <c r="C5" t="s">
        <v>20</v>
      </c>
      <c r="D5" s="4" t="s">
        <v>21</v>
      </c>
      <c r="E5" s="4" t="s">
        <v>22</v>
      </c>
      <c r="F5" t="s">
        <v>23</v>
      </c>
      <c r="G5" t="s">
        <v>24</v>
      </c>
      <c r="H5" s="5"/>
      <c r="I5" s="5"/>
      <c r="J5">
        <f t="shared" si="0"/>
        <v>0</v>
      </c>
      <c r="K5" t="s">
        <v>267</v>
      </c>
    </row>
    <row r="6" spans="1:11" ht="43.2" x14ac:dyDescent="0.55000000000000004">
      <c r="A6">
        <v>2017</v>
      </c>
      <c r="B6">
        <v>41</v>
      </c>
      <c r="C6" t="s">
        <v>25</v>
      </c>
      <c r="D6" s="4" t="s">
        <v>26</v>
      </c>
      <c r="E6" s="4" t="s">
        <v>27</v>
      </c>
      <c r="F6" t="s">
        <v>28</v>
      </c>
      <c r="G6" t="s">
        <v>29</v>
      </c>
      <c r="H6" s="5"/>
      <c r="I6" s="5"/>
      <c r="J6">
        <f t="shared" si="0"/>
        <v>0</v>
      </c>
      <c r="K6" t="s">
        <v>157</v>
      </c>
    </row>
    <row r="7" spans="1:11" ht="57.6" x14ac:dyDescent="0.55000000000000004">
      <c r="A7">
        <v>2017</v>
      </c>
      <c r="B7">
        <v>42</v>
      </c>
      <c r="C7" t="s">
        <v>30</v>
      </c>
      <c r="D7" s="4" t="s">
        <v>31</v>
      </c>
      <c r="E7" s="4" t="s">
        <v>32</v>
      </c>
      <c r="F7" t="s">
        <v>33</v>
      </c>
      <c r="G7" t="s">
        <v>34</v>
      </c>
      <c r="H7" s="5"/>
      <c r="I7" s="5"/>
      <c r="J7">
        <f t="shared" si="0"/>
        <v>0</v>
      </c>
      <c r="K7" t="s">
        <v>441</v>
      </c>
    </row>
    <row r="8" spans="1:11" ht="72" x14ac:dyDescent="0.55000000000000004">
      <c r="A8">
        <v>2017</v>
      </c>
      <c r="B8">
        <v>55</v>
      </c>
      <c r="C8" t="s">
        <v>35</v>
      </c>
      <c r="D8" s="4" t="s">
        <v>36</v>
      </c>
      <c r="E8" s="4" t="s">
        <v>37</v>
      </c>
      <c r="F8" t="s">
        <v>38</v>
      </c>
      <c r="G8" t="s">
        <v>39</v>
      </c>
      <c r="H8" s="5"/>
      <c r="I8" s="5"/>
      <c r="J8">
        <f t="shared" si="0"/>
        <v>0</v>
      </c>
      <c r="K8" t="s">
        <v>99</v>
      </c>
    </row>
    <row r="9" spans="1:11" x14ac:dyDescent="0.55000000000000004">
      <c r="A9">
        <v>2017</v>
      </c>
      <c r="B9">
        <v>78</v>
      </c>
      <c r="C9" t="s">
        <v>40</v>
      </c>
      <c r="D9" s="4" t="s">
        <v>41</v>
      </c>
      <c r="E9" s="4" t="s">
        <v>42</v>
      </c>
      <c r="F9" t="s">
        <v>43</v>
      </c>
      <c r="G9" t="s">
        <v>44</v>
      </c>
      <c r="H9" s="5"/>
      <c r="I9" s="5"/>
      <c r="J9">
        <f t="shared" si="0"/>
        <v>0</v>
      </c>
      <c r="K9" t="s">
        <v>539</v>
      </c>
    </row>
    <row r="10" spans="1:11" ht="28.8" x14ac:dyDescent="0.55000000000000004">
      <c r="A10">
        <v>2017</v>
      </c>
      <c r="B10">
        <v>103</v>
      </c>
      <c r="C10" t="s">
        <v>45</v>
      </c>
      <c r="D10" s="4" t="s">
        <v>46</v>
      </c>
      <c r="E10" s="4" t="s">
        <v>47</v>
      </c>
      <c r="F10" t="s">
        <v>48</v>
      </c>
      <c r="G10" t="s">
        <v>49</v>
      </c>
      <c r="H10" s="5"/>
      <c r="I10" s="5"/>
      <c r="J10">
        <f t="shared" si="0"/>
        <v>0</v>
      </c>
      <c r="K10" t="s">
        <v>540</v>
      </c>
    </row>
    <row r="11" spans="1:11" ht="57.6" x14ac:dyDescent="0.55000000000000004">
      <c r="A11">
        <v>2017</v>
      </c>
      <c r="B11">
        <v>104</v>
      </c>
      <c r="C11" t="s">
        <v>50</v>
      </c>
      <c r="D11" s="4" t="s">
        <v>51</v>
      </c>
      <c r="E11" s="4" t="s">
        <v>52</v>
      </c>
      <c r="F11" t="s">
        <v>53</v>
      </c>
      <c r="G11" t="s">
        <v>54</v>
      </c>
      <c r="H11" s="5"/>
      <c r="I11" s="5"/>
      <c r="J11">
        <f t="shared" si="0"/>
        <v>0</v>
      </c>
      <c r="K11" t="s">
        <v>541</v>
      </c>
    </row>
    <row r="12" spans="1:11" x14ac:dyDescent="0.55000000000000004">
      <c r="A12">
        <v>2017</v>
      </c>
      <c r="B12">
        <v>117</v>
      </c>
      <c r="C12" t="s">
        <v>55</v>
      </c>
      <c r="D12" s="4" t="s">
        <v>56</v>
      </c>
      <c r="E12" s="4" t="s">
        <v>57</v>
      </c>
      <c r="F12" t="s">
        <v>58</v>
      </c>
      <c r="G12" t="s">
        <v>59</v>
      </c>
      <c r="H12" s="5"/>
      <c r="I12" s="5"/>
      <c r="J12">
        <f t="shared" si="0"/>
        <v>0</v>
      </c>
      <c r="K12" t="s">
        <v>87</v>
      </c>
    </row>
    <row r="13" spans="1:11" ht="86.4" x14ac:dyDescent="0.55000000000000004">
      <c r="A13">
        <v>2017</v>
      </c>
      <c r="B13">
        <v>120</v>
      </c>
      <c r="C13" t="s">
        <v>60</v>
      </c>
      <c r="D13" s="4" t="s">
        <v>61</v>
      </c>
      <c r="E13" s="4" t="s">
        <v>62</v>
      </c>
      <c r="F13" t="s">
        <v>58</v>
      </c>
      <c r="G13" t="s">
        <v>59</v>
      </c>
      <c r="H13" s="5"/>
      <c r="I13" s="5"/>
      <c r="J13">
        <f t="shared" si="0"/>
        <v>0</v>
      </c>
      <c r="K13" t="s">
        <v>192</v>
      </c>
    </row>
    <row r="14" spans="1:11" x14ac:dyDescent="0.55000000000000004">
      <c r="A14">
        <v>2018</v>
      </c>
      <c r="B14">
        <v>44</v>
      </c>
      <c r="C14" t="s">
        <v>63</v>
      </c>
      <c r="D14" s="4" t="s">
        <v>64</v>
      </c>
      <c r="E14" s="4" t="s">
        <v>65</v>
      </c>
      <c r="F14" t="s">
        <v>66</v>
      </c>
      <c r="G14" t="s">
        <v>67</v>
      </c>
      <c r="H14" s="5"/>
      <c r="I14" s="5"/>
      <c r="J14">
        <f t="shared" si="0"/>
        <v>0</v>
      </c>
      <c r="K14" t="s">
        <v>429</v>
      </c>
    </row>
    <row r="15" spans="1:11" ht="28.8" x14ac:dyDescent="0.55000000000000004">
      <c r="A15">
        <v>2018</v>
      </c>
      <c r="B15">
        <v>47</v>
      </c>
      <c r="C15" t="s">
        <v>68</v>
      </c>
      <c r="D15" s="4" t="s">
        <v>69</v>
      </c>
      <c r="E15" s="4" t="s">
        <v>70</v>
      </c>
      <c r="F15" t="s">
        <v>71</v>
      </c>
      <c r="G15" t="s">
        <v>72</v>
      </c>
      <c r="H15" s="5"/>
      <c r="I15" s="5"/>
      <c r="J15">
        <f t="shared" si="0"/>
        <v>0</v>
      </c>
      <c r="K15" t="s">
        <v>66</v>
      </c>
    </row>
    <row r="16" spans="1:11" x14ac:dyDescent="0.55000000000000004">
      <c r="A16">
        <v>2018</v>
      </c>
      <c r="B16">
        <v>53</v>
      </c>
      <c r="C16" t="s">
        <v>73</v>
      </c>
      <c r="D16" s="4" t="s">
        <v>74</v>
      </c>
      <c r="E16" s="4" t="s">
        <v>75</v>
      </c>
      <c r="F16" t="s">
        <v>76</v>
      </c>
      <c r="G16" t="s">
        <v>77</v>
      </c>
      <c r="H16" s="5"/>
      <c r="I16" s="5"/>
      <c r="J16">
        <f t="shared" si="0"/>
        <v>0</v>
      </c>
      <c r="K16" t="s">
        <v>542</v>
      </c>
    </row>
    <row r="17" spans="1:11" ht="28.8" x14ac:dyDescent="0.55000000000000004">
      <c r="A17">
        <v>2018</v>
      </c>
      <c r="B17">
        <v>61</v>
      </c>
      <c r="C17" t="s">
        <v>78</v>
      </c>
      <c r="D17" s="4" t="s">
        <v>79</v>
      </c>
      <c r="E17" s="4" t="s">
        <v>80</v>
      </c>
      <c r="F17" t="s">
        <v>81</v>
      </c>
      <c r="G17" t="s">
        <v>82</v>
      </c>
      <c r="H17" s="5"/>
      <c r="I17" s="5"/>
      <c r="J17">
        <f t="shared" si="0"/>
        <v>0</v>
      </c>
      <c r="K17" t="s">
        <v>104</v>
      </c>
    </row>
    <row r="18" spans="1:11" ht="43.2" x14ac:dyDescent="0.55000000000000004">
      <c r="A18">
        <v>2018</v>
      </c>
      <c r="B18">
        <v>65</v>
      </c>
      <c r="C18" t="s">
        <v>83</v>
      </c>
      <c r="D18" s="4" t="s">
        <v>84</v>
      </c>
      <c r="E18" s="4" t="s">
        <v>85</v>
      </c>
      <c r="F18" t="s">
        <v>86</v>
      </c>
      <c r="G18" t="s">
        <v>87</v>
      </c>
      <c r="H18" s="5"/>
      <c r="I18" s="5"/>
      <c r="J18">
        <f t="shared" si="0"/>
        <v>0</v>
      </c>
      <c r="K18" t="s">
        <v>543</v>
      </c>
    </row>
    <row r="19" spans="1:11" ht="72" x14ac:dyDescent="0.55000000000000004">
      <c r="A19">
        <v>2018</v>
      </c>
      <c r="B19">
        <v>79</v>
      </c>
      <c r="C19" t="s">
        <v>88</v>
      </c>
      <c r="D19" s="4" t="s">
        <v>89</v>
      </c>
      <c r="E19" s="4" t="s">
        <v>90</v>
      </c>
      <c r="F19" t="s">
        <v>28</v>
      </c>
      <c r="G19" t="s">
        <v>29</v>
      </c>
      <c r="H19" s="5"/>
      <c r="I19" s="5"/>
      <c r="J19">
        <f t="shared" si="0"/>
        <v>0</v>
      </c>
      <c r="K19" t="s">
        <v>544</v>
      </c>
    </row>
    <row r="20" spans="1:11" ht="57.6" x14ac:dyDescent="0.55000000000000004">
      <c r="A20">
        <v>2018</v>
      </c>
      <c r="B20">
        <v>82</v>
      </c>
      <c r="C20" t="s">
        <v>91</v>
      </c>
      <c r="D20" s="4" t="s">
        <v>92</v>
      </c>
      <c r="E20" s="4" t="s">
        <v>93</v>
      </c>
      <c r="F20" t="s">
        <v>94</v>
      </c>
      <c r="G20" t="s">
        <v>82</v>
      </c>
      <c r="H20" s="5"/>
      <c r="I20" s="5"/>
      <c r="J20">
        <f t="shared" si="0"/>
        <v>0</v>
      </c>
      <c r="K20" t="s">
        <v>114</v>
      </c>
    </row>
    <row r="21" spans="1:11" ht="86.4" x14ac:dyDescent="0.55000000000000004">
      <c r="A21">
        <v>2018</v>
      </c>
      <c r="B21">
        <v>85</v>
      </c>
      <c r="C21" t="s">
        <v>95</v>
      </c>
      <c r="D21" s="4" t="s">
        <v>96</v>
      </c>
      <c r="E21" s="4" t="s">
        <v>97</v>
      </c>
      <c r="F21" t="s">
        <v>98</v>
      </c>
      <c r="G21" t="s">
        <v>99</v>
      </c>
      <c r="H21" s="5"/>
      <c r="I21" s="5"/>
      <c r="J21">
        <f t="shared" si="0"/>
        <v>0</v>
      </c>
      <c r="K21" t="s">
        <v>128</v>
      </c>
    </row>
    <row r="22" spans="1:11" ht="57.6" x14ac:dyDescent="0.55000000000000004">
      <c r="A22">
        <v>2018</v>
      </c>
      <c r="B22">
        <v>92</v>
      </c>
      <c r="C22" t="s">
        <v>100</v>
      </c>
      <c r="D22" s="4" t="s">
        <v>101</v>
      </c>
      <c r="E22" s="4" t="s">
        <v>102</v>
      </c>
      <c r="F22" t="s">
        <v>103</v>
      </c>
      <c r="G22" t="s">
        <v>104</v>
      </c>
      <c r="H22" s="5"/>
      <c r="I22" s="5"/>
      <c r="J22">
        <f t="shared" si="0"/>
        <v>0</v>
      </c>
      <c r="K22" t="s">
        <v>77</v>
      </c>
    </row>
    <row r="23" spans="1:11" ht="86.4" x14ac:dyDescent="0.55000000000000004">
      <c r="A23">
        <v>2018</v>
      </c>
      <c r="B23">
        <v>94</v>
      </c>
      <c r="C23" t="s">
        <v>105</v>
      </c>
      <c r="D23" s="4" t="s">
        <v>106</v>
      </c>
      <c r="E23" s="4" t="s">
        <v>107</v>
      </c>
      <c r="F23" t="s">
        <v>108</v>
      </c>
      <c r="G23" t="s">
        <v>109</v>
      </c>
      <c r="H23" s="5"/>
      <c r="I23" s="5"/>
      <c r="J23">
        <f t="shared" si="0"/>
        <v>0</v>
      </c>
      <c r="K23" t="s">
        <v>545</v>
      </c>
    </row>
    <row r="24" spans="1:11" ht="43.2" x14ac:dyDescent="0.55000000000000004">
      <c r="A24">
        <v>2018</v>
      </c>
      <c r="B24">
        <v>113</v>
      </c>
      <c r="C24" t="s">
        <v>110</v>
      </c>
      <c r="D24" s="4" t="s">
        <v>111</v>
      </c>
      <c r="E24" s="4" t="s">
        <v>112</v>
      </c>
      <c r="F24" t="s">
        <v>113</v>
      </c>
      <c r="G24" t="s">
        <v>114</v>
      </c>
      <c r="H24" s="5"/>
      <c r="I24" s="5"/>
      <c r="J24">
        <f t="shared" si="0"/>
        <v>0</v>
      </c>
      <c r="K24" t="s">
        <v>76</v>
      </c>
    </row>
    <row r="25" spans="1:11" ht="43.2" x14ac:dyDescent="0.55000000000000004">
      <c r="A25">
        <v>2018</v>
      </c>
      <c r="B25">
        <v>122</v>
      </c>
      <c r="C25" t="s">
        <v>115</v>
      </c>
      <c r="D25" s="4" t="s">
        <v>116</v>
      </c>
      <c r="E25" s="4" t="s">
        <v>117</v>
      </c>
      <c r="F25" t="s">
        <v>118</v>
      </c>
      <c r="G25" t="s">
        <v>44</v>
      </c>
      <c r="H25" s="5"/>
      <c r="I25" s="5"/>
      <c r="J25">
        <f t="shared" si="0"/>
        <v>0</v>
      </c>
      <c r="K25" t="s">
        <v>546</v>
      </c>
    </row>
    <row r="26" spans="1:11" ht="28.8" x14ac:dyDescent="0.55000000000000004">
      <c r="A26">
        <v>2018</v>
      </c>
      <c r="B26">
        <v>131</v>
      </c>
      <c r="C26" t="s">
        <v>119</v>
      </c>
      <c r="D26" s="4" t="s">
        <v>120</v>
      </c>
      <c r="E26" s="4" t="s">
        <v>121</v>
      </c>
      <c r="F26" t="s">
        <v>122</v>
      </c>
      <c r="G26" t="s">
        <v>123</v>
      </c>
      <c r="H26" s="5"/>
      <c r="I26" s="5"/>
      <c r="J26">
        <f t="shared" si="0"/>
        <v>0</v>
      </c>
      <c r="K26" t="s">
        <v>547</v>
      </c>
    </row>
    <row r="27" spans="1:11" x14ac:dyDescent="0.55000000000000004">
      <c r="A27">
        <v>2019</v>
      </c>
      <c r="B27">
        <v>6</v>
      </c>
      <c r="C27" t="s">
        <v>124</v>
      </c>
      <c r="D27" s="4" t="s">
        <v>125</v>
      </c>
      <c r="E27" s="4" t="s">
        <v>126</v>
      </c>
      <c r="F27" t="s">
        <v>127</v>
      </c>
      <c r="G27" t="s">
        <v>128</v>
      </c>
      <c r="H27" s="5"/>
      <c r="I27" s="5"/>
      <c r="J27">
        <f t="shared" si="0"/>
        <v>0</v>
      </c>
      <c r="K27" t="s">
        <v>82</v>
      </c>
    </row>
    <row r="28" spans="1:11" x14ac:dyDescent="0.55000000000000004">
      <c r="A28">
        <v>2019</v>
      </c>
      <c r="B28">
        <v>7</v>
      </c>
      <c r="C28" t="s">
        <v>129</v>
      </c>
      <c r="D28" s="4" t="s">
        <v>130</v>
      </c>
      <c r="E28" s="4" t="s">
        <v>131</v>
      </c>
      <c r="F28" t="s">
        <v>132</v>
      </c>
      <c r="G28" t="s">
        <v>133</v>
      </c>
      <c r="H28" s="5"/>
      <c r="I28" s="5"/>
      <c r="J28">
        <f t="shared" si="0"/>
        <v>0</v>
      </c>
      <c r="K28" t="s">
        <v>548</v>
      </c>
    </row>
    <row r="29" spans="1:11" ht="57.6" x14ac:dyDescent="0.55000000000000004">
      <c r="A29">
        <v>2019</v>
      </c>
      <c r="B29">
        <v>20</v>
      </c>
      <c r="C29" t="s">
        <v>134</v>
      </c>
      <c r="D29" s="4" t="s">
        <v>135</v>
      </c>
      <c r="E29" s="4" t="s">
        <v>136</v>
      </c>
      <c r="F29" t="s">
        <v>137</v>
      </c>
      <c r="G29" t="s">
        <v>14</v>
      </c>
      <c r="H29" s="5"/>
      <c r="I29" s="5"/>
      <c r="J29">
        <f t="shared" si="0"/>
        <v>0</v>
      </c>
      <c r="K29" t="s">
        <v>549</v>
      </c>
    </row>
    <row r="30" spans="1:11" ht="43.2" x14ac:dyDescent="0.55000000000000004">
      <c r="A30">
        <v>2019</v>
      </c>
      <c r="B30">
        <v>24</v>
      </c>
      <c r="C30" t="s">
        <v>138</v>
      </c>
      <c r="D30" s="4" t="s">
        <v>139</v>
      </c>
      <c r="E30" s="4" t="s">
        <v>140</v>
      </c>
      <c r="F30" t="s">
        <v>48</v>
      </c>
      <c r="G30" t="s">
        <v>49</v>
      </c>
      <c r="H30" s="5"/>
      <c r="I30" s="5"/>
      <c r="J30">
        <f t="shared" si="0"/>
        <v>0</v>
      </c>
    </row>
    <row r="31" spans="1:11" ht="57.6" x14ac:dyDescent="0.55000000000000004">
      <c r="A31">
        <v>2019</v>
      </c>
      <c r="B31">
        <v>26</v>
      </c>
      <c r="C31" t="s">
        <v>141</v>
      </c>
      <c r="D31" s="4" t="s">
        <v>142</v>
      </c>
      <c r="E31" s="4" t="s">
        <v>143</v>
      </c>
      <c r="F31" t="s">
        <v>144</v>
      </c>
      <c r="G31" t="s">
        <v>145</v>
      </c>
      <c r="H31" s="5"/>
      <c r="I31" s="5"/>
      <c r="J31">
        <f t="shared" si="0"/>
        <v>0</v>
      </c>
    </row>
    <row r="32" spans="1:11" ht="43.2" x14ac:dyDescent="0.55000000000000004">
      <c r="A32">
        <v>2019</v>
      </c>
      <c r="B32">
        <v>44</v>
      </c>
      <c r="C32" t="s">
        <v>146</v>
      </c>
      <c r="D32" s="4" t="s">
        <v>147</v>
      </c>
      <c r="E32" s="4" t="s">
        <v>93</v>
      </c>
      <c r="F32" t="s">
        <v>28</v>
      </c>
      <c r="G32" t="s">
        <v>29</v>
      </c>
      <c r="H32" s="5"/>
      <c r="I32" s="5"/>
      <c r="J32">
        <f t="shared" si="0"/>
        <v>0</v>
      </c>
    </row>
    <row r="33" spans="1:10" x14ac:dyDescent="0.55000000000000004">
      <c r="A33">
        <v>2019</v>
      </c>
      <c r="B33">
        <v>46</v>
      </c>
      <c r="C33" t="s">
        <v>148</v>
      </c>
      <c r="D33" s="4" t="s">
        <v>149</v>
      </c>
      <c r="E33" s="4" t="s">
        <v>150</v>
      </c>
      <c r="F33" t="s">
        <v>151</v>
      </c>
      <c r="G33" t="s">
        <v>152</v>
      </c>
      <c r="H33" s="5"/>
      <c r="I33" s="5"/>
      <c r="J33">
        <f t="shared" si="0"/>
        <v>0</v>
      </c>
    </row>
    <row r="34" spans="1:10" ht="28.8" x14ac:dyDescent="0.55000000000000004">
      <c r="A34">
        <v>2019</v>
      </c>
      <c r="B34">
        <v>60</v>
      </c>
      <c r="C34" t="s">
        <v>153</v>
      </c>
      <c r="D34" s="4" t="s">
        <v>154</v>
      </c>
      <c r="E34" s="4" t="s">
        <v>155</v>
      </c>
      <c r="F34" t="s">
        <v>156</v>
      </c>
      <c r="G34" t="s">
        <v>157</v>
      </c>
      <c r="H34" s="5"/>
      <c r="I34" s="5"/>
      <c r="J34">
        <f t="shared" si="0"/>
        <v>0</v>
      </c>
    </row>
    <row r="35" spans="1:10" ht="57.6" x14ac:dyDescent="0.55000000000000004">
      <c r="A35">
        <v>2019</v>
      </c>
      <c r="B35">
        <v>84</v>
      </c>
      <c r="C35" t="s">
        <v>158</v>
      </c>
      <c r="D35" s="4" t="s">
        <v>159</v>
      </c>
      <c r="E35" s="4" t="s">
        <v>160</v>
      </c>
      <c r="F35" t="s">
        <v>161</v>
      </c>
      <c r="G35" t="s">
        <v>162</v>
      </c>
      <c r="H35" s="5"/>
      <c r="I35" s="5"/>
      <c r="J35">
        <f t="shared" si="0"/>
        <v>0</v>
      </c>
    </row>
    <row r="36" spans="1:10" ht="43.2" x14ac:dyDescent="0.55000000000000004">
      <c r="A36">
        <v>2019</v>
      </c>
      <c r="B36">
        <v>85</v>
      </c>
      <c r="C36" t="s">
        <v>163</v>
      </c>
      <c r="D36" s="4" t="s">
        <v>164</v>
      </c>
      <c r="E36" s="4" t="s">
        <v>165</v>
      </c>
      <c r="F36" t="s">
        <v>71</v>
      </c>
      <c r="G36" t="s">
        <v>72</v>
      </c>
      <c r="H36" s="5"/>
      <c r="I36" s="5"/>
      <c r="J36">
        <f t="shared" si="0"/>
        <v>0</v>
      </c>
    </row>
    <row r="37" spans="1:10" ht="43.2" x14ac:dyDescent="0.55000000000000004">
      <c r="A37">
        <v>2019</v>
      </c>
      <c r="B37">
        <v>88</v>
      </c>
      <c r="C37" t="s">
        <v>166</v>
      </c>
      <c r="D37" s="4" t="s">
        <v>167</v>
      </c>
      <c r="E37" s="4" t="s">
        <v>168</v>
      </c>
      <c r="F37" t="s">
        <v>161</v>
      </c>
      <c r="G37" t="s">
        <v>162</v>
      </c>
      <c r="H37" s="5"/>
      <c r="I37" s="5"/>
      <c r="J37">
        <f t="shared" si="0"/>
        <v>0</v>
      </c>
    </row>
    <row r="38" spans="1:10" ht="43.2" x14ac:dyDescent="0.55000000000000004">
      <c r="A38">
        <v>2019</v>
      </c>
      <c r="B38">
        <v>106</v>
      </c>
      <c r="C38" t="s">
        <v>169</v>
      </c>
      <c r="D38" s="4" t="s">
        <v>170</v>
      </c>
      <c r="E38" s="4" t="s">
        <v>171</v>
      </c>
      <c r="F38" t="s">
        <v>19</v>
      </c>
      <c r="G38" t="s">
        <v>15</v>
      </c>
      <c r="H38" s="5"/>
      <c r="I38" s="5"/>
      <c r="J38">
        <f t="shared" si="0"/>
        <v>0</v>
      </c>
    </row>
    <row r="39" spans="1:10" ht="57.6" x14ac:dyDescent="0.55000000000000004">
      <c r="A39">
        <v>2019</v>
      </c>
      <c r="B39">
        <v>119</v>
      </c>
      <c r="C39" t="s">
        <v>172</v>
      </c>
      <c r="D39" s="4" t="s">
        <v>173</v>
      </c>
      <c r="E39" s="4" t="s">
        <v>174</v>
      </c>
      <c r="F39" t="s">
        <v>175</v>
      </c>
      <c r="G39" t="s">
        <v>176</v>
      </c>
      <c r="H39" s="5"/>
      <c r="I39" s="5"/>
      <c r="J39">
        <f t="shared" si="0"/>
        <v>0</v>
      </c>
    </row>
    <row r="40" spans="1:10" ht="43.2" x14ac:dyDescent="0.55000000000000004">
      <c r="A40">
        <v>2020</v>
      </c>
      <c r="B40">
        <v>56</v>
      </c>
      <c r="C40" t="s">
        <v>177</v>
      </c>
      <c r="D40" s="4" t="s">
        <v>178</v>
      </c>
      <c r="E40" s="4" t="s">
        <v>179</v>
      </c>
      <c r="F40" t="s">
        <v>180</v>
      </c>
      <c r="G40" t="s">
        <v>181</v>
      </c>
      <c r="H40" s="5"/>
      <c r="I40" s="5"/>
      <c r="J40">
        <f t="shared" si="0"/>
        <v>0</v>
      </c>
    </row>
    <row r="41" spans="1:10" ht="43.2" x14ac:dyDescent="0.55000000000000004">
      <c r="A41">
        <v>2020</v>
      </c>
      <c r="B41">
        <v>58</v>
      </c>
      <c r="C41" t="s">
        <v>182</v>
      </c>
      <c r="D41" s="4" t="s">
        <v>183</v>
      </c>
      <c r="E41" s="4" t="s">
        <v>184</v>
      </c>
      <c r="F41" t="s">
        <v>185</v>
      </c>
      <c r="G41" t="s">
        <v>186</v>
      </c>
      <c r="H41" s="5"/>
      <c r="I41" s="5"/>
      <c r="J41">
        <f t="shared" si="0"/>
        <v>0</v>
      </c>
    </row>
    <row r="42" spans="1:10" ht="57.6" x14ac:dyDescent="0.55000000000000004">
      <c r="A42">
        <v>2020</v>
      </c>
      <c r="B42">
        <v>61</v>
      </c>
      <c r="C42" t="s">
        <v>187</v>
      </c>
      <c r="D42" s="4" t="s">
        <v>188</v>
      </c>
      <c r="E42" s="4" t="s">
        <v>189</v>
      </c>
      <c r="F42" t="s">
        <v>191</v>
      </c>
      <c r="G42" t="s">
        <v>192</v>
      </c>
      <c r="H42" s="5"/>
      <c r="I42" s="5"/>
      <c r="J42">
        <f t="shared" si="0"/>
        <v>0</v>
      </c>
    </row>
    <row r="43" spans="1:10" ht="28.8" x14ac:dyDescent="0.55000000000000004">
      <c r="A43">
        <v>2020</v>
      </c>
      <c r="B43">
        <v>74</v>
      </c>
      <c r="C43" t="s">
        <v>193</v>
      </c>
      <c r="D43" s="4" t="s">
        <v>194</v>
      </c>
      <c r="E43" s="4" t="s">
        <v>195</v>
      </c>
      <c r="F43" t="s">
        <v>196</v>
      </c>
      <c r="G43" t="s">
        <v>128</v>
      </c>
      <c r="H43" s="5"/>
      <c r="I43" s="5"/>
      <c r="J43">
        <f t="shared" si="0"/>
        <v>0</v>
      </c>
    </row>
    <row r="44" spans="1:10" ht="28.8" x14ac:dyDescent="0.55000000000000004">
      <c r="A44">
        <v>2020</v>
      </c>
      <c r="B44">
        <v>110</v>
      </c>
      <c r="C44" t="s">
        <v>197</v>
      </c>
      <c r="D44" s="4" t="s">
        <v>198</v>
      </c>
      <c r="E44" s="4" t="s">
        <v>199</v>
      </c>
      <c r="F44" t="s">
        <v>44</v>
      </c>
      <c r="G44" t="s">
        <v>99</v>
      </c>
      <c r="H44" s="5"/>
      <c r="I44" s="5"/>
      <c r="J44">
        <f t="shared" si="0"/>
        <v>0</v>
      </c>
    </row>
    <row r="45" spans="1:10" ht="86.4" x14ac:dyDescent="0.55000000000000004">
      <c r="A45">
        <v>2020</v>
      </c>
      <c r="B45">
        <v>111</v>
      </c>
      <c r="C45" t="s">
        <v>200</v>
      </c>
      <c r="D45" s="4" t="s">
        <v>201</v>
      </c>
      <c r="E45" s="4" t="s">
        <v>202</v>
      </c>
      <c r="F45" t="s">
        <v>203</v>
      </c>
      <c r="G45" t="s">
        <v>204</v>
      </c>
      <c r="H45" s="5"/>
      <c r="I45" s="5"/>
      <c r="J45">
        <f t="shared" si="0"/>
        <v>0</v>
      </c>
    </row>
    <row r="46" spans="1:10" ht="43.2" x14ac:dyDescent="0.55000000000000004">
      <c r="A46">
        <v>2020</v>
      </c>
      <c r="B46">
        <v>112</v>
      </c>
      <c r="C46" t="s">
        <v>205</v>
      </c>
      <c r="D46" s="4" t="s">
        <v>206</v>
      </c>
      <c r="E46" s="4" t="s">
        <v>207</v>
      </c>
      <c r="F46" t="s">
        <v>208</v>
      </c>
      <c r="G46" t="s">
        <v>209</v>
      </c>
      <c r="H46" s="5"/>
      <c r="I46" s="5"/>
      <c r="J46">
        <f t="shared" si="0"/>
        <v>0</v>
      </c>
    </row>
    <row r="47" spans="1:10" ht="43.2" x14ac:dyDescent="0.55000000000000004">
      <c r="A47">
        <v>2020</v>
      </c>
      <c r="B47">
        <v>113</v>
      </c>
      <c r="C47" t="s">
        <v>210</v>
      </c>
      <c r="D47" s="4" t="s">
        <v>211</v>
      </c>
      <c r="E47" s="4" t="s">
        <v>212</v>
      </c>
      <c r="F47" t="s">
        <v>156</v>
      </c>
      <c r="G47" t="s">
        <v>213</v>
      </c>
      <c r="H47" s="5"/>
      <c r="I47" s="5"/>
      <c r="J47">
        <f t="shared" si="0"/>
        <v>0</v>
      </c>
    </row>
    <row r="48" spans="1:10" ht="43.2" x14ac:dyDescent="0.55000000000000004">
      <c r="A48">
        <v>2020</v>
      </c>
      <c r="B48">
        <v>114</v>
      </c>
      <c r="C48" t="s">
        <v>214</v>
      </c>
      <c r="D48" s="4" t="s">
        <v>215</v>
      </c>
      <c r="E48" s="4" t="s">
        <v>216</v>
      </c>
      <c r="F48" t="s">
        <v>208</v>
      </c>
      <c r="G48" t="s">
        <v>209</v>
      </c>
      <c r="H48" s="5"/>
      <c r="I48" s="5"/>
      <c r="J48">
        <f t="shared" si="0"/>
        <v>0</v>
      </c>
    </row>
    <row r="49" spans="1:10" ht="72" x14ac:dyDescent="0.55000000000000004">
      <c r="A49">
        <v>2020</v>
      </c>
      <c r="B49">
        <v>115</v>
      </c>
      <c r="C49" t="s">
        <v>217</v>
      </c>
      <c r="D49" s="4" t="s">
        <v>218</v>
      </c>
      <c r="E49" s="4" t="s">
        <v>219</v>
      </c>
      <c r="F49" t="s">
        <v>220</v>
      </c>
      <c r="G49" t="s">
        <v>221</v>
      </c>
      <c r="H49" s="5"/>
      <c r="I49" s="5"/>
      <c r="J49">
        <f t="shared" si="0"/>
        <v>0</v>
      </c>
    </row>
    <row r="50" spans="1:10" ht="43.2" x14ac:dyDescent="0.55000000000000004">
      <c r="A50">
        <v>2020</v>
      </c>
      <c r="B50">
        <v>134</v>
      </c>
      <c r="C50" t="s">
        <v>222</v>
      </c>
      <c r="D50" s="4" t="s">
        <v>223</v>
      </c>
      <c r="E50" s="4" t="s">
        <v>224</v>
      </c>
      <c r="F50" t="s">
        <v>225</v>
      </c>
      <c r="G50" t="s">
        <v>66</v>
      </c>
      <c r="H50" s="5"/>
      <c r="I50" s="5"/>
      <c r="J50">
        <f t="shared" si="0"/>
        <v>0</v>
      </c>
    </row>
    <row r="51" spans="1:10" ht="57.6" x14ac:dyDescent="0.55000000000000004">
      <c r="A51">
        <v>2021</v>
      </c>
      <c r="B51">
        <v>9</v>
      </c>
      <c r="C51" t="s">
        <v>226</v>
      </c>
      <c r="D51" s="4" t="s">
        <v>227</v>
      </c>
      <c r="E51" s="4" t="s">
        <v>228</v>
      </c>
      <c r="F51" t="s">
        <v>87</v>
      </c>
      <c r="G51" t="s">
        <v>66</v>
      </c>
      <c r="H51" s="5"/>
      <c r="I51" s="5"/>
      <c r="J51">
        <f t="shared" si="0"/>
        <v>0</v>
      </c>
    </row>
    <row r="52" spans="1:10" ht="57.6" x14ac:dyDescent="0.55000000000000004">
      <c r="A52">
        <v>2021</v>
      </c>
      <c r="B52">
        <v>10</v>
      </c>
      <c r="C52" t="s">
        <v>229</v>
      </c>
      <c r="D52" s="4" t="s">
        <v>230</v>
      </c>
      <c r="E52" s="4" t="s">
        <v>190</v>
      </c>
      <c r="F52" t="s">
        <v>87</v>
      </c>
      <c r="G52" t="s">
        <v>231</v>
      </c>
      <c r="H52" s="5"/>
      <c r="I52" s="5"/>
      <c r="J52">
        <f t="shared" si="0"/>
        <v>0</v>
      </c>
    </row>
    <row r="53" spans="1:10" ht="86.4" x14ac:dyDescent="0.55000000000000004">
      <c r="A53">
        <v>2021</v>
      </c>
      <c r="B53">
        <v>19</v>
      </c>
      <c r="C53" t="s">
        <v>232</v>
      </c>
      <c r="D53" s="4" t="s">
        <v>233</v>
      </c>
      <c r="E53" s="4" t="s">
        <v>234</v>
      </c>
      <c r="F53" t="s">
        <v>235</v>
      </c>
      <c r="G53" t="s">
        <v>236</v>
      </c>
      <c r="H53" s="5"/>
      <c r="I53" s="5"/>
      <c r="J53">
        <f t="shared" si="0"/>
        <v>0</v>
      </c>
    </row>
    <row r="54" spans="1:10" ht="43.2" x14ac:dyDescent="0.55000000000000004">
      <c r="A54">
        <v>2021</v>
      </c>
      <c r="B54">
        <v>29</v>
      </c>
      <c r="C54" t="s">
        <v>237</v>
      </c>
      <c r="D54" s="4" t="s">
        <v>238</v>
      </c>
      <c r="E54" s="4" t="s">
        <v>239</v>
      </c>
      <c r="F54" t="s">
        <v>240</v>
      </c>
      <c r="G54" t="s">
        <v>241</v>
      </c>
      <c r="H54" s="5"/>
      <c r="I54" s="5"/>
      <c r="J54">
        <f t="shared" si="0"/>
        <v>0</v>
      </c>
    </row>
    <row r="55" spans="1:10" ht="43.2" x14ac:dyDescent="0.55000000000000004">
      <c r="A55">
        <v>2021</v>
      </c>
      <c r="B55">
        <v>62</v>
      </c>
      <c r="C55" t="s">
        <v>242</v>
      </c>
      <c r="D55" s="4" t="s">
        <v>243</v>
      </c>
      <c r="E55" s="4" t="s">
        <v>244</v>
      </c>
      <c r="F55" t="s">
        <v>245</v>
      </c>
      <c r="G55" t="s">
        <v>246</v>
      </c>
      <c r="H55" s="5"/>
      <c r="I55" s="5"/>
      <c r="J55">
        <f t="shared" si="0"/>
        <v>0</v>
      </c>
    </row>
    <row r="56" spans="1:10" ht="28.8" x14ac:dyDescent="0.55000000000000004">
      <c r="A56">
        <v>2021</v>
      </c>
      <c r="B56">
        <v>74</v>
      </c>
      <c r="C56" t="s">
        <v>247</v>
      </c>
      <c r="D56" s="4" t="s">
        <v>248</v>
      </c>
      <c r="E56" s="4" t="s">
        <v>249</v>
      </c>
      <c r="F56" t="s">
        <v>145</v>
      </c>
      <c r="G56" t="s">
        <v>250</v>
      </c>
      <c r="H56" s="5"/>
      <c r="I56" s="5"/>
      <c r="J56">
        <f t="shared" si="0"/>
        <v>0</v>
      </c>
    </row>
    <row r="57" spans="1:10" ht="28.8" x14ac:dyDescent="0.55000000000000004">
      <c r="A57">
        <v>2021</v>
      </c>
      <c r="B57">
        <v>98</v>
      </c>
      <c r="C57" t="s">
        <v>251</v>
      </c>
      <c r="D57" s="4" t="s">
        <v>252</v>
      </c>
      <c r="E57" s="4" t="s">
        <v>253</v>
      </c>
      <c r="F57" t="s">
        <v>254</v>
      </c>
      <c r="G57" t="s">
        <v>255</v>
      </c>
      <c r="H57" s="5"/>
      <c r="I57" s="5"/>
      <c r="J57">
        <f t="shared" si="0"/>
        <v>0</v>
      </c>
    </row>
    <row r="58" spans="1:10" ht="86.4" x14ac:dyDescent="0.55000000000000004">
      <c r="A58">
        <v>2021</v>
      </c>
      <c r="B58">
        <v>105</v>
      </c>
      <c r="C58" t="s">
        <v>256</v>
      </c>
      <c r="D58" s="4" t="s">
        <v>257</v>
      </c>
      <c r="E58" s="4" t="s">
        <v>258</v>
      </c>
      <c r="F58" t="s">
        <v>152</v>
      </c>
      <c r="G58" t="s">
        <v>145</v>
      </c>
      <c r="H58" s="5"/>
      <c r="I58" s="5"/>
      <c r="J58">
        <f t="shared" si="0"/>
        <v>0</v>
      </c>
    </row>
    <row r="59" spans="1:10" ht="57.6" x14ac:dyDescent="0.55000000000000004">
      <c r="A59">
        <v>2021</v>
      </c>
      <c r="B59">
        <v>121</v>
      </c>
      <c r="C59" t="s">
        <v>260</v>
      </c>
      <c r="D59" s="4" t="s">
        <v>261</v>
      </c>
      <c r="E59" s="4" t="s">
        <v>262</v>
      </c>
      <c r="F59" t="s">
        <v>263</v>
      </c>
      <c r="G59" t="s">
        <v>157</v>
      </c>
      <c r="H59" s="5"/>
      <c r="I59" s="5"/>
      <c r="J59">
        <f t="shared" si="0"/>
        <v>0</v>
      </c>
    </row>
    <row r="60" spans="1:10" ht="57.6" x14ac:dyDescent="0.55000000000000004">
      <c r="A60">
        <v>2021</v>
      </c>
      <c r="B60">
        <v>122</v>
      </c>
      <c r="C60" t="s">
        <v>264</v>
      </c>
      <c r="D60" s="4" t="s">
        <v>265</v>
      </c>
      <c r="E60" s="4" t="s">
        <v>266</v>
      </c>
      <c r="F60" t="s">
        <v>133</v>
      </c>
      <c r="G60" t="s">
        <v>267</v>
      </c>
      <c r="H60" s="5"/>
      <c r="I60" s="5"/>
      <c r="J60">
        <f t="shared" si="0"/>
        <v>0</v>
      </c>
    </row>
    <row r="61" spans="1:10" ht="28.8" x14ac:dyDescent="0.55000000000000004">
      <c r="A61">
        <v>2021</v>
      </c>
      <c r="B61">
        <v>130</v>
      </c>
      <c r="C61" t="s">
        <v>268</v>
      </c>
      <c r="D61" s="4" t="s">
        <v>269</v>
      </c>
      <c r="E61" s="4" t="s">
        <v>270</v>
      </c>
      <c r="F61" t="s">
        <v>271</v>
      </c>
      <c r="G61" t="s">
        <v>272</v>
      </c>
      <c r="H61" s="5"/>
      <c r="I61" s="5"/>
      <c r="J61">
        <f t="shared" si="0"/>
        <v>0</v>
      </c>
    </row>
    <row r="62" spans="1:10" ht="28.8" x14ac:dyDescent="0.55000000000000004">
      <c r="A62">
        <v>2021</v>
      </c>
      <c r="B62">
        <v>134</v>
      </c>
      <c r="C62" t="s">
        <v>273</v>
      </c>
      <c r="D62" s="4" t="s">
        <v>274</v>
      </c>
      <c r="E62" s="4" t="s">
        <v>275</v>
      </c>
      <c r="F62" t="s">
        <v>276</v>
      </c>
      <c r="G62" t="s">
        <v>77</v>
      </c>
      <c r="H62" s="5"/>
      <c r="I62" s="5"/>
      <c r="J62">
        <f t="shared" si="0"/>
        <v>0</v>
      </c>
    </row>
    <row r="63" spans="1:10" ht="86.4" x14ac:dyDescent="0.55000000000000004">
      <c r="A63">
        <v>2021</v>
      </c>
      <c r="B63">
        <v>137</v>
      </c>
      <c r="C63" t="s">
        <v>277</v>
      </c>
      <c r="D63" s="4" t="s">
        <v>278</v>
      </c>
      <c r="E63" s="4" t="s">
        <v>279</v>
      </c>
      <c r="F63" t="s">
        <v>280</v>
      </c>
      <c r="G63" t="s">
        <v>281</v>
      </c>
      <c r="H63" s="5"/>
      <c r="I63" s="5"/>
      <c r="J63">
        <f t="shared" si="0"/>
        <v>0</v>
      </c>
    </row>
    <row r="64" spans="1:10" ht="72" x14ac:dyDescent="0.55000000000000004">
      <c r="A64">
        <v>2021</v>
      </c>
      <c r="B64">
        <v>138</v>
      </c>
      <c r="C64" t="s">
        <v>282</v>
      </c>
      <c r="D64" s="4" t="s">
        <v>283</v>
      </c>
      <c r="E64" s="4" t="s">
        <v>284</v>
      </c>
      <c r="F64" t="s">
        <v>285</v>
      </c>
      <c r="G64" t="s">
        <v>286</v>
      </c>
      <c r="H64" s="5"/>
      <c r="I64" s="5"/>
      <c r="J64">
        <f t="shared" si="0"/>
        <v>0</v>
      </c>
    </row>
    <row r="65" spans="1:10" ht="86.4" x14ac:dyDescent="0.55000000000000004">
      <c r="A65">
        <v>2021</v>
      </c>
      <c r="B65">
        <v>139</v>
      </c>
      <c r="C65" t="s">
        <v>287</v>
      </c>
      <c r="D65" s="4" t="s">
        <v>288</v>
      </c>
      <c r="E65" s="4" t="s">
        <v>289</v>
      </c>
      <c r="F65" t="s">
        <v>290</v>
      </c>
      <c r="G65" t="s">
        <v>291</v>
      </c>
      <c r="H65" s="5"/>
      <c r="I65" s="5"/>
      <c r="J65">
        <f t="shared" si="0"/>
        <v>0</v>
      </c>
    </row>
    <row r="66" spans="1:10" ht="28.8" x14ac:dyDescent="0.55000000000000004">
      <c r="A66">
        <v>2022</v>
      </c>
      <c r="B66">
        <v>33</v>
      </c>
      <c r="C66" t="s">
        <v>292</v>
      </c>
      <c r="D66" s="4" t="s">
        <v>293</v>
      </c>
      <c r="E66" s="4" t="s">
        <v>294</v>
      </c>
      <c r="F66" t="s">
        <v>295</v>
      </c>
      <c r="G66" t="s">
        <v>296</v>
      </c>
      <c r="H66" s="5"/>
      <c r="I66" s="5"/>
      <c r="J66">
        <f t="shared" si="0"/>
        <v>0</v>
      </c>
    </row>
    <row r="67" spans="1:10" ht="28.8" x14ac:dyDescent="0.55000000000000004">
      <c r="A67">
        <v>2022</v>
      </c>
      <c r="B67">
        <v>35</v>
      </c>
      <c r="C67" t="s">
        <v>297</v>
      </c>
      <c r="D67" s="4" t="s">
        <v>298</v>
      </c>
      <c r="E67" s="4" t="s">
        <v>299</v>
      </c>
      <c r="F67" t="s">
        <v>300</v>
      </c>
      <c r="G67" t="s">
        <v>301</v>
      </c>
      <c r="H67" s="5"/>
      <c r="I67" s="5"/>
      <c r="J67">
        <f t="shared" ref="J67:J127" si="1">IF(I67&lt;&gt;"", H67&amp;"; "&amp;I67,H67)</f>
        <v>0</v>
      </c>
    </row>
    <row r="68" spans="1:10" ht="43.2" x14ac:dyDescent="0.55000000000000004">
      <c r="A68">
        <v>2022</v>
      </c>
      <c r="B68">
        <v>41</v>
      </c>
      <c r="C68" t="s">
        <v>302</v>
      </c>
      <c r="D68" s="4" t="s">
        <v>303</v>
      </c>
      <c r="E68" s="4" t="s">
        <v>304</v>
      </c>
      <c r="F68" t="s">
        <v>305</v>
      </c>
      <c r="G68" t="s">
        <v>10</v>
      </c>
      <c r="H68" s="5"/>
      <c r="I68" s="5"/>
      <c r="J68">
        <f t="shared" si="1"/>
        <v>0</v>
      </c>
    </row>
    <row r="69" spans="1:10" ht="57.6" x14ac:dyDescent="0.55000000000000004">
      <c r="A69">
        <v>2022</v>
      </c>
      <c r="B69">
        <v>59</v>
      </c>
      <c r="C69" t="s">
        <v>306</v>
      </c>
      <c r="D69" s="4" t="s">
        <v>307</v>
      </c>
      <c r="E69" s="4" t="s">
        <v>308</v>
      </c>
      <c r="F69" t="s">
        <v>191</v>
      </c>
      <c r="G69" t="s">
        <v>309</v>
      </c>
      <c r="H69" s="5"/>
      <c r="I69" s="5"/>
      <c r="J69">
        <f t="shared" si="1"/>
        <v>0</v>
      </c>
    </row>
    <row r="70" spans="1:10" x14ac:dyDescent="0.55000000000000004">
      <c r="A70">
        <v>2022</v>
      </c>
      <c r="B70">
        <v>60</v>
      </c>
      <c r="C70" t="s">
        <v>310</v>
      </c>
      <c r="D70" s="4" t="s">
        <v>311</v>
      </c>
      <c r="E70" s="4" t="s">
        <v>312</v>
      </c>
      <c r="F70" t="s">
        <v>59</v>
      </c>
      <c r="G70" t="s">
        <v>58</v>
      </c>
      <c r="H70" s="5"/>
      <c r="I70" s="5"/>
      <c r="J70">
        <f t="shared" si="1"/>
        <v>0</v>
      </c>
    </row>
    <row r="71" spans="1:10" ht="57.6" x14ac:dyDescent="0.55000000000000004">
      <c r="A71">
        <v>2022</v>
      </c>
      <c r="B71">
        <v>74</v>
      </c>
      <c r="C71" t="s">
        <v>313</v>
      </c>
      <c r="D71" s="4" t="s">
        <v>314</v>
      </c>
      <c r="E71" s="4" t="s">
        <v>315</v>
      </c>
      <c r="F71" t="s">
        <v>316</v>
      </c>
      <c r="G71" t="s">
        <v>317</v>
      </c>
      <c r="H71" s="5"/>
      <c r="I71" s="5"/>
      <c r="J71">
        <f t="shared" si="1"/>
        <v>0</v>
      </c>
    </row>
    <row r="72" spans="1:10" ht="72" x14ac:dyDescent="0.55000000000000004">
      <c r="A72">
        <v>2022</v>
      </c>
      <c r="B72">
        <v>100</v>
      </c>
      <c r="C72" t="s">
        <v>318</v>
      </c>
      <c r="D72" s="4" t="s">
        <v>319</v>
      </c>
      <c r="E72" s="4" t="s">
        <v>320</v>
      </c>
      <c r="F72" t="s">
        <v>321</v>
      </c>
      <c r="G72" t="s">
        <v>157</v>
      </c>
      <c r="H72" s="5"/>
      <c r="I72" s="5"/>
      <c r="J72">
        <f t="shared" si="1"/>
        <v>0</v>
      </c>
    </row>
    <row r="73" spans="1:10" ht="28.8" x14ac:dyDescent="0.55000000000000004">
      <c r="A73">
        <v>2022</v>
      </c>
      <c r="B73">
        <v>102</v>
      </c>
      <c r="C73" t="s">
        <v>322</v>
      </c>
      <c r="D73" s="4" t="s">
        <v>323</v>
      </c>
      <c r="E73" s="4" t="s">
        <v>324</v>
      </c>
      <c r="F73" t="s">
        <v>145</v>
      </c>
      <c r="G73" t="s">
        <v>10</v>
      </c>
      <c r="H73" s="5"/>
      <c r="I73" s="5"/>
      <c r="J73">
        <f t="shared" si="1"/>
        <v>0</v>
      </c>
    </row>
    <row r="74" spans="1:10" x14ac:dyDescent="0.55000000000000004">
      <c r="A74">
        <v>2022</v>
      </c>
      <c r="B74">
        <v>105</v>
      </c>
      <c r="C74" t="s">
        <v>325</v>
      </c>
      <c r="D74" s="4" t="s">
        <v>326</v>
      </c>
      <c r="E74" s="4" t="s">
        <v>327</v>
      </c>
      <c r="F74" t="s">
        <v>328</v>
      </c>
      <c r="G74" t="s">
        <v>329</v>
      </c>
      <c r="H74" s="5"/>
      <c r="I74" s="5"/>
      <c r="J74">
        <f t="shared" si="1"/>
        <v>0</v>
      </c>
    </row>
    <row r="75" spans="1:10" ht="43.2" x14ac:dyDescent="0.55000000000000004">
      <c r="A75">
        <v>2022</v>
      </c>
      <c r="B75">
        <v>116</v>
      </c>
      <c r="C75" t="s">
        <v>330</v>
      </c>
      <c r="D75" s="4" t="s">
        <v>331</v>
      </c>
      <c r="E75" s="4" t="s">
        <v>332</v>
      </c>
      <c r="F75" t="s">
        <v>333</v>
      </c>
      <c r="G75" t="s">
        <v>334</v>
      </c>
      <c r="H75" s="5"/>
      <c r="I75" s="5"/>
      <c r="J75">
        <f t="shared" si="1"/>
        <v>0</v>
      </c>
    </row>
    <row r="76" spans="1:10" ht="72" x14ac:dyDescent="0.55000000000000004">
      <c r="A76">
        <v>2022</v>
      </c>
      <c r="B76">
        <v>117</v>
      </c>
      <c r="C76" t="s">
        <v>335</v>
      </c>
      <c r="D76" s="4" t="s">
        <v>336</v>
      </c>
      <c r="E76" s="4" t="s">
        <v>337</v>
      </c>
      <c r="F76" t="s">
        <v>338</v>
      </c>
      <c r="G76" t="s">
        <v>339</v>
      </c>
      <c r="H76" s="5"/>
      <c r="I76" s="5"/>
      <c r="J76">
        <f t="shared" si="1"/>
        <v>0</v>
      </c>
    </row>
    <row r="77" spans="1:10" ht="28.8" x14ac:dyDescent="0.55000000000000004">
      <c r="A77">
        <v>2022</v>
      </c>
      <c r="B77">
        <v>121</v>
      </c>
      <c r="C77" t="s">
        <v>340</v>
      </c>
      <c r="D77" s="4" t="s">
        <v>341</v>
      </c>
      <c r="E77" s="4" t="s">
        <v>342</v>
      </c>
      <c r="F77" t="s">
        <v>343</v>
      </c>
      <c r="G77" t="s">
        <v>250</v>
      </c>
      <c r="H77" s="5"/>
      <c r="I77" s="5"/>
      <c r="J77">
        <f t="shared" si="1"/>
        <v>0</v>
      </c>
    </row>
    <row r="78" spans="1:10" ht="43.2" x14ac:dyDescent="0.55000000000000004">
      <c r="A78">
        <v>2022</v>
      </c>
      <c r="B78">
        <v>125</v>
      </c>
      <c r="C78" t="s">
        <v>344</v>
      </c>
      <c r="D78" s="4" t="s">
        <v>345</v>
      </c>
      <c r="E78" s="4" t="s">
        <v>346</v>
      </c>
      <c r="F78" t="s">
        <v>347</v>
      </c>
      <c r="G78" t="s">
        <v>348</v>
      </c>
      <c r="H78" s="5"/>
      <c r="I78" s="5"/>
      <c r="J78">
        <f t="shared" si="1"/>
        <v>0</v>
      </c>
    </row>
    <row r="79" spans="1:10" ht="28.8" x14ac:dyDescent="0.55000000000000004">
      <c r="A79">
        <v>2022</v>
      </c>
      <c r="B79">
        <v>128</v>
      </c>
      <c r="C79" t="s">
        <v>349</v>
      </c>
      <c r="D79" s="4" t="s">
        <v>350</v>
      </c>
      <c r="E79" s="4" t="s">
        <v>351</v>
      </c>
      <c r="F79" t="s">
        <v>352</v>
      </c>
      <c r="G79" t="s">
        <v>353</v>
      </c>
      <c r="H79" s="5"/>
      <c r="I79" s="5"/>
      <c r="J79">
        <f t="shared" si="1"/>
        <v>0</v>
      </c>
    </row>
    <row r="80" spans="1:10" ht="43.2" x14ac:dyDescent="0.55000000000000004">
      <c r="A80">
        <v>2022</v>
      </c>
      <c r="B80">
        <v>135</v>
      </c>
      <c r="C80" t="s">
        <v>354</v>
      </c>
      <c r="D80" s="4" t="s">
        <v>355</v>
      </c>
      <c r="E80" s="4" t="s">
        <v>356</v>
      </c>
      <c r="F80" t="s">
        <v>225</v>
      </c>
      <c r="G80" t="s">
        <v>357</v>
      </c>
      <c r="H80" s="5"/>
      <c r="I80" s="5"/>
      <c r="J80">
        <f t="shared" si="1"/>
        <v>0</v>
      </c>
    </row>
    <row r="81" spans="1:10" ht="43.2" x14ac:dyDescent="0.55000000000000004">
      <c r="A81">
        <v>2023</v>
      </c>
      <c r="B81">
        <v>15</v>
      </c>
      <c r="C81" t="s">
        <v>358</v>
      </c>
      <c r="D81" s="4" t="s">
        <v>359</v>
      </c>
      <c r="E81" s="4" t="s">
        <v>360</v>
      </c>
      <c r="F81" t="s">
        <v>48</v>
      </c>
      <c r="G81" t="s">
        <v>49</v>
      </c>
      <c r="H81" s="5"/>
      <c r="I81" s="5"/>
      <c r="J81">
        <f t="shared" si="1"/>
        <v>0</v>
      </c>
    </row>
    <row r="82" spans="1:10" ht="43.2" x14ac:dyDescent="0.55000000000000004">
      <c r="A82">
        <v>2023</v>
      </c>
      <c r="B82">
        <v>16</v>
      </c>
      <c r="C82" t="s">
        <v>361</v>
      </c>
      <c r="D82" s="4" t="s">
        <v>362</v>
      </c>
      <c r="E82" s="4" t="s">
        <v>363</v>
      </c>
      <c r="F82" t="s">
        <v>48</v>
      </c>
      <c r="G82" t="s">
        <v>49</v>
      </c>
      <c r="H82" s="5"/>
      <c r="I82" s="5"/>
      <c r="J82">
        <f t="shared" si="1"/>
        <v>0</v>
      </c>
    </row>
    <row r="83" spans="1:10" ht="28.8" x14ac:dyDescent="0.55000000000000004">
      <c r="A83">
        <v>2023</v>
      </c>
      <c r="B83">
        <v>19</v>
      </c>
      <c r="C83" t="s">
        <v>364</v>
      </c>
      <c r="D83" s="4" t="s">
        <v>365</v>
      </c>
      <c r="E83" s="4" t="s">
        <v>366</v>
      </c>
      <c r="F83" t="s">
        <v>317</v>
      </c>
      <c r="G83" t="s">
        <v>316</v>
      </c>
      <c r="H83" s="5"/>
      <c r="I83" s="5"/>
      <c r="J83">
        <f t="shared" si="1"/>
        <v>0</v>
      </c>
    </row>
    <row r="84" spans="1:10" ht="43.2" x14ac:dyDescent="0.55000000000000004">
      <c r="A84">
        <v>2023</v>
      </c>
      <c r="B84">
        <v>26</v>
      </c>
      <c r="C84" t="s">
        <v>367</v>
      </c>
      <c r="D84" s="4" t="s">
        <v>368</v>
      </c>
      <c r="E84" s="4" t="s">
        <v>369</v>
      </c>
      <c r="F84" t="s">
        <v>33</v>
      </c>
      <c r="G84" t="s">
        <v>34</v>
      </c>
      <c r="H84" s="5"/>
      <c r="I84" s="5"/>
      <c r="J84">
        <f t="shared" si="1"/>
        <v>0</v>
      </c>
    </row>
    <row r="85" spans="1:10" x14ac:dyDescent="0.55000000000000004">
      <c r="A85">
        <v>2023</v>
      </c>
      <c r="B85">
        <v>36</v>
      </c>
      <c r="C85" t="s">
        <v>370</v>
      </c>
      <c r="D85" s="4" t="s">
        <v>371</v>
      </c>
      <c r="E85" s="4" t="s">
        <v>372</v>
      </c>
      <c r="F85" t="s">
        <v>373</v>
      </c>
      <c r="G85" t="s">
        <v>374</v>
      </c>
      <c r="H85" s="5"/>
      <c r="I85" s="5"/>
      <c r="J85">
        <f t="shared" si="1"/>
        <v>0</v>
      </c>
    </row>
    <row r="86" spans="1:10" ht="43.2" x14ac:dyDescent="0.55000000000000004">
      <c r="A86">
        <v>2023</v>
      </c>
      <c r="B86">
        <v>41</v>
      </c>
      <c r="C86" t="s">
        <v>375</v>
      </c>
      <c r="D86" s="4" t="s">
        <v>376</v>
      </c>
      <c r="E86" s="4" t="s">
        <v>377</v>
      </c>
      <c r="F86" t="s">
        <v>378</v>
      </c>
      <c r="G86" t="s">
        <v>379</v>
      </c>
      <c r="H86" s="5"/>
      <c r="I86" s="5"/>
      <c r="J86">
        <f t="shared" si="1"/>
        <v>0</v>
      </c>
    </row>
    <row r="87" spans="1:10" ht="57.6" x14ac:dyDescent="0.55000000000000004">
      <c r="A87">
        <v>2023</v>
      </c>
      <c r="B87">
        <v>43</v>
      </c>
      <c r="C87" t="s">
        <v>380</v>
      </c>
      <c r="D87" s="4" t="s">
        <v>381</v>
      </c>
      <c r="E87" s="4" t="s">
        <v>382</v>
      </c>
      <c r="F87" t="s">
        <v>185</v>
      </c>
      <c r="G87" t="s">
        <v>186</v>
      </c>
      <c r="H87" s="5"/>
      <c r="I87" s="5"/>
      <c r="J87">
        <f t="shared" si="1"/>
        <v>0</v>
      </c>
    </row>
    <row r="88" spans="1:10" ht="86.4" x14ac:dyDescent="0.55000000000000004">
      <c r="A88">
        <v>2023</v>
      </c>
      <c r="B88">
        <v>44</v>
      </c>
      <c r="C88" t="s">
        <v>383</v>
      </c>
      <c r="D88" s="4" t="s">
        <v>384</v>
      </c>
      <c r="E88" s="4" t="s">
        <v>385</v>
      </c>
      <c r="F88" t="s">
        <v>386</v>
      </c>
      <c r="G88" t="s">
        <v>387</v>
      </c>
      <c r="H88" s="5"/>
      <c r="I88" s="5"/>
      <c r="J88">
        <f t="shared" si="1"/>
        <v>0</v>
      </c>
    </row>
    <row r="89" spans="1:10" ht="72" x14ac:dyDescent="0.55000000000000004">
      <c r="A89">
        <v>2023</v>
      </c>
      <c r="B89">
        <v>45</v>
      </c>
      <c r="C89" t="s">
        <v>388</v>
      </c>
      <c r="D89" s="4" t="s">
        <v>389</v>
      </c>
      <c r="E89" s="4" t="s">
        <v>390</v>
      </c>
      <c r="F89" t="s">
        <v>386</v>
      </c>
      <c r="G89" t="s">
        <v>387</v>
      </c>
      <c r="H89" s="5"/>
      <c r="I89" s="5"/>
      <c r="J89">
        <f t="shared" si="1"/>
        <v>0</v>
      </c>
    </row>
    <row r="90" spans="1:10" ht="72" x14ac:dyDescent="0.55000000000000004">
      <c r="A90">
        <v>2023</v>
      </c>
      <c r="B90">
        <v>46</v>
      </c>
      <c r="C90" t="s">
        <v>391</v>
      </c>
      <c r="D90" s="4" t="s">
        <v>392</v>
      </c>
      <c r="E90" s="4" t="s">
        <v>393</v>
      </c>
      <c r="F90" t="s">
        <v>394</v>
      </c>
      <c r="G90" t="s">
        <v>395</v>
      </c>
      <c r="H90" s="5"/>
      <c r="I90" s="5"/>
      <c r="J90">
        <f t="shared" si="1"/>
        <v>0</v>
      </c>
    </row>
    <row r="91" spans="1:10" ht="72" x14ac:dyDescent="0.55000000000000004">
      <c r="A91">
        <v>2023</v>
      </c>
      <c r="B91">
        <v>47</v>
      </c>
      <c r="C91" t="s">
        <v>396</v>
      </c>
      <c r="D91" s="4" t="s">
        <v>397</v>
      </c>
      <c r="E91" s="4" t="s">
        <v>398</v>
      </c>
      <c r="F91" t="s">
        <v>399</v>
      </c>
      <c r="G91" t="s">
        <v>400</v>
      </c>
      <c r="H91" s="5"/>
      <c r="I91" s="5"/>
      <c r="J91">
        <f t="shared" si="1"/>
        <v>0</v>
      </c>
    </row>
    <row r="92" spans="1:10" ht="100.8" x14ac:dyDescent="0.55000000000000004">
      <c r="A92">
        <v>2023</v>
      </c>
      <c r="B92">
        <v>48</v>
      </c>
      <c r="C92" t="s">
        <v>401</v>
      </c>
      <c r="D92" s="4" t="s">
        <v>402</v>
      </c>
      <c r="E92" s="4" t="s">
        <v>403</v>
      </c>
      <c r="F92" t="s">
        <v>404</v>
      </c>
      <c r="G92" t="s">
        <v>405</v>
      </c>
      <c r="H92" s="5"/>
      <c r="I92" s="5"/>
      <c r="J92">
        <f t="shared" si="1"/>
        <v>0</v>
      </c>
    </row>
    <row r="93" spans="1:10" ht="57.6" x14ac:dyDescent="0.55000000000000004">
      <c r="A93">
        <v>2023</v>
      </c>
      <c r="B93">
        <v>77</v>
      </c>
      <c r="C93" t="s">
        <v>406</v>
      </c>
      <c r="D93" s="4" t="s">
        <v>407</v>
      </c>
      <c r="E93" s="4" t="s">
        <v>408</v>
      </c>
      <c r="F93" t="s">
        <v>81</v>
      </c>
      <c r="G93" t="s">
        <v>82</v>
      </c>
      <c r="H93" s="5"/>
      <c r="I93" s="5"/>
      <c r="J93">
        <f t="shared" si="1"/>
        <v>0</v>
      </c>
    </row>
    <row r="94" spans="1:10" ht="86.4" x14ac:dyDescent="0.55000000000000004">
      <c r="A94">
        <v>2023</v>
      </c>
      <c r="B94">
        <v>78</v>
      </c>
      <c r="C94" t="s">
        <v>409</v>
      </c>
      <c r="D94" s="4" t="s">
        <v>410</v>
      </c>
      <c r="E94" s="4" t="s">
        <v>411</v>
      </c>
      <c r="F94" t="s">
        <v>412</v>
      </c>
      <c r="G94" t="s">
        <v>413</v>
      </c>
      <c r="H94" s="5"/>
      <c r="I94" s="5"/>
      <c r="J94">
        <f t="shared" si="1"/>
        <v>0</v>
      </c>
    </row>
    <row r="95" spans="1:10" ht="43.2" x14ac:dyDescent="0.55000000000000004">
      <c r="A95">
        <v>2023</v>
      </c>
      <c r="B95">
        <v>80</v>
      </c>
      <c r="C95" t="s">
        <v>414</v>
      </c>
      <c r="D95" s="4" t="s">
        <v>415</v>
      </c>
      <c r="E95" s="4" t="s">
        <v>416</v>
      </c>
      <c r="F95" t="s">
        <v>417</v>
      </c>
      <c r="G95" t="s">
        <v>418</v>
      </c>
      <c r="H95" s="5"/>
      <c r="I95" s="5"/>
      <c r="J95">
        <f t="shared" si="1"/>
        <v>0</v>
      </c>
    </row>
    <row r="96" spans="1:10" ht="43.2" x14ac:dyDescent="0.55000000000000004">
      <c r="A96">
        <v>2023</v>
      </c>
      <c r="B96">
        <v>107</v>
      </c>
      <c r="C96" t="s">
        <v>419</v>
      </c>
      <c r="D96" s="4" t="s">
        <v>420</v>
      </c>
      <c r="E96" s="4" t="s">
        <v>421</v>
      </c>
      <c r="F96" t="s">
        <v>221</v>
      </c>
      <c r="G96" t="s">
        <v>220</v>
      </c>
      <c r="H96" s="5"/>
      <c r="I96" s="5"/>
      <c r="J96">
        <f t="shared" si="1"/>
        <v>0</v>
      </c>
    </row>
    <row r="97" spans="1:10" ht="28.8" x14ac:dyDescent="0.55000000000000004">
      <c r="A97">
        <v>2023</v>
      </c>
      <c r="B97">
        <v>108</v>
      </c>
      <c r="C97" t="s">
        <v>422</v>
      </c>
      <c r="D97" s="4" t="s">
        <v>423</v>
      </c>
      <c r="E97" s="4" t="s">
        <v>424</v>
      </c>
      <c r="F97" t="s">
        <v>425</v>
      </c>
      <c r="G97" t="s">
        <v>426</v>
      </c>
      <c r="H97" s="5"/>
      <c r="I97" s="5"/>
      <c r="J97">
        <f t="shared" si="1"/>
        <v>0</v>
      </c>
    </row>
    <row r="98" spans="1:10" ht="100.8" x14ac:dyDescent="0.55000000000000004">
      <c r="A98">
        <v>2023</v>
      </c>
      <c r="B98">
        <v>111</v>
      </c>
      <c r="C98" t="s">
        <v>427</v>
      </c>
      <c r="D98" s="4" t="s">
        <v>428</v>
      </c>
      <c r="E98" s="4" t="s">
        <v>259</v>
      </c>
      <c r="F98" t="s">
        <v>152</v>
      </c>
      <c r="G98" t="s">
        <v>429</v>
      </c>
      <c r="H98" s="5"/>
      <c r="I98" s="5"/>
      <c r="J98">
        <f t="shared" si="1"/>
        <v>0</v>
      </c>
    </row>
    <row r="99" spans="1:10" ht="86.4" x14ac:dyDescent="0.55000000000000004">
      <c r="A99">
        <v>2023</v>
      </c>
      <c r="B99">
        <v>120</v>
      </c>
      <c r="C99" t="s">
        <v>430</v>
      </c>
      <c r="D99" s="4" t="s">
        <v>431</v>
      </c>
      <c r="E99" s="4" t="s">
        <v>432</v>
      </c>
      <c r="F99" t="s">
        <v>76</v>
      </c>
      <c r="G99" t="s">
        <v>77</v>
      </c>
      <c r="H99" s="5"/>
      <c r="I99" s="5"/>
      <c r="J99">
        <f t="shared" si="1"/>
        <v>0</v>
      </c>
    </row>
    <row r="100" spans="1:10" ht="72" x14ac:dyDescent="0.55000000000000004">
      <c r="A100">
        <v>2023</v>
      </c>
      <c r="B100">
        <v>131</v>
      </c>
      <c r="C100" t="s">
        <v>433</v>
      </c>
      <c r="D100" s="4" t="s">
        <v>434</v>
      </c>
      <c r="E100" s="4" t="s">
        <v>435</v>
      </c>
      <c r="F100" t="s">
        <v>436</v>
      </c>
      <c r="G100" t="s">
        <v>437</v>
      </c>
      <c r="H100" s="5"/>
      <c r="I100" s="5"/>
      <c r="J100">
        <f t="shared" si="1"/>
        <v>0</v>
      </c>
    </row>
    <row r="101" spans="1:10" ht="28.8" x14ac:dyDescent="0.55000000000000004">
      <c r="A101">
        <v>2023</v>
      </c>
      <c r="B101">
        <v>135</v>
      </c>
      <c r="C101" t="s">
        <v>438</v>
      </c>
      <c r="D101" s="4" t="s">
        <v>439</v>
      </c>
      <c r="E101" s="4" t="s">
        <v>440</v>
      </c>
      <c r="F101" t="s">
        <v>267</v>
      </c>
      <c r="G101" t="s">
        <v>441</v>
      </c>
      <c r="H101" s="5"/>
      <c r="I101" s="5"/>
      <c r="J101">
        <f t="shared" si="1"/>
        <v>0</v>
      </c>
    </row>
    <row r="102" spans="1:10" ht="57.6" x14ac:dyDescent="0.55000000000000004">
      <c r="A102">
        <v>2023</v>
      </c>
      <c r="B102">
        <v>137</v>
      </c>
      <c r="C102" t="s">
        <v>442</v>
      </c>
      <c r="D102" s="4" t="s">
        <v>443</v>
      </c>
      <c r="E102" s="4" t="s">
        <v>444</v>
      </c>
      <c r="F102" t="s">
        <v>445</v>
      </c>
      <c r="G102" t="s">
        <v>446</v>
      </c>
      <c r="H102" s="5"/>
      <c r="I102" s="5"/>
      <c r="J102">
        <f t="shared" si="1"/>
        <v>0</v>
      </c>
    </row>
    <row r="103" spans="1:10" ht="115.2" x14ac:dyDescent="0.55000000000000004">
      <c r="A103">
        <v>2023</v>
      </c>
      <c r="B103">
        <v>138</v>
      </c>
      <c r="C103" t="s">
        <v>447</v>
      </c>
      <c r="D103" s="4" t="s">
        <v>448</v>
      </c>
      <c r="E103" s="4" t="s">
        <v>449</v>
      </c>
      <c r="F103" t="s">
        <v>450</v>
      </c>
      <c r="G103" t="s">
        <v>94</v>
      </c>
      <c r="H103" s="5"/>
      <c r="I103" s="5"/>
      <c r="J103">
        <f t="shared" si="1"/>
        <v>0</v>
      </c>
    </row>
    <row r="104" spans="1:10" ht="57.6" x14ac:dyDescent="0.55000000000000004">
      <c r="A104">
        <v>2024</v>
      </c>
      <c r="B104">
        <v>3</v>
      </c>
      <c r="C104" t="s">
        <v>451</v>
      </c>
      <c r="D104" s="4" t="s">
        <v>452</v>
      </c>
      <c r="E104" s="4" t="s">
        <v>453</v>
      </c>
      <c r="F104" t="s">
        <v>454</v>
      </c>
      <c r="G104" t="s">
        <v>44</v>
      </c>
      <c r="H104" s="5"/>
      <c r="I104" s="5"/>
      <c r="J104">
        <f t="shared" si="1"/>
        <v>0</v>
      </c>
    </row>
    <row r="105" spans="1:10" ht="28.8" x14ac:dyDescent="0.55000000000000004">
      <c r="A105">
        <v>2024</v>
      </c>
      <c r="B105">
        <v>13</v>
      </c>
      <c r="C105" t="s">
        <v>455</v>
      </c>
      <c r="D105" s="4" t="s">
        <v>456</v>
      </c>
      <c r="E105" s="4" t="s">
        <v>457</v>
      </c>
      <c r="F105" t="s">
        <v>145</v>
      </c>
      <c r="G105" t="s">
        <v>104</v>
      </c>
      <c r="H105" s="5"/>
      <c r="I105" s="5"/>
      <c r="J105">
        <f t="shared" si="1"/>
        <v>0</v>
      </c>
    </row>
    <row r="106" spans="1:10" ht="43.2" x14ac:dyDescent="0.55000000000000004">
      <c r="A106">
        <v>2024</v>
      </c>
      <c r="B106">
        <v>39</v>
      </c>
      <c r="C106" t="s">
        <v>458</v>
      </c>
      <c r="D106" s="4" t="s">
        <v>459</v>
      </c>
      <c r="E106" s="4" t="s">
        <v>460</v>
      </c>
      <c r="F106" t="s">
        <v>204</v>
      </c>
      <c r="G106" t="s">
        <v>203</v>
      </c>
      <c r="H106" s="5"/>
      <c r="I106" s="5"/>
      <c r="J106">
        <f t="shared" si="1"/>
        <v>0</v>
      </c>
    </row>
    <row r="107" spans="1:10" ht="72" x14ac:dyDescent="0.55000000000000004">
      <c r="A107">
        <v>2024</v>
      </c>
      <c r="B107">
        <v>46</v>
      </c>
      <c r="C107" t="s">
        <v>461</v>
      </c>
      <c r="D107" s="4" t="s">
        <v>462</v>
      </c>
      <c r="E107" s="4" t="s">
        <v>463</v>
      </c>
      <c r="F107" t="s">
        <v>464</v>
      </c>
      <c r="G107" t="s">
        <v>465</v>
      </c>
      <c r="H107" s="5"/>
      <c r="I107" s="5"/>
      <c r="J107">
        <f t="shared" si="1"/>
        <v>0</v>
      </c>
    </row>
    <row r="108" spans="1:10" ht="28.8" x14ac:dyDescent="0.55000000000000004">
      <c r="A108">
        <v>2024</v>
      </c>
      <c r="B108">
        <v>79</v>
      </c>
      <c r="C108" t="s">
        <v>466</v>
      </c>
      <c r="D108" s="4" t="s">
        <v>467</v>
      </c>
      <c r="E108" s="4" t="s">
        <v>468</v>
      </c>
      <c r="F108" t="s">
        <v>445</v>
      </c>
      <c r="G108" t="s">
        <v>446</v>
      </c>
      <c r="H108" s="5"/>
      <c r="I108" s="5"/>
      <c r="J108">
        <f t="shared" si="1"/>
        <v>0</v>
      </c>
    </row>
    <row r="109" spans="1:10" ht="86.4" x14ac:dyDescent="0.55000000000000004">
      <c r="A109">
        <v>2024</v>
      </c>
      <c r="B109">
        <v>88</v>
      </c>
      <c r="C109" t="s">
        <v>469</v>
      </c>
      <c r="D109" s="4" t="s">
        <v>470</v>
      </c>
      <c r="E109" s="4" t="s">
        <v>471</v>
      </c>
      <c r="F109" t="s">
        <v>54</v>
      </c>
      <c r="G109" t="s">
        <v>472</v>
      </c>
      <c r="H109" s="5"/>
      <c r="I109" s="5"/>
      <c r="J109">
        <f t="shared" si="1"/>
        <v>0</v>
      </c>
    </row>
    <row r="110" spans="1:10" ht="72" x14ac:dyDescent="0.55000000000000004">
      <c r="A110">
        <v>2024</v>
      </c>
      <c r="B110">
        <v>90</v>
      </c>
      <c r="C110" t="s">
        <v>473</v>
      </c>
      <c r="D110" s="4" t="s">
        <v>474</v>
      </c>
      <c r="E110" s="4" t="s">
        <v>475</v>
      </c>
      <c r="F110" t="s">
        <v>476</v>
      </c>
      <c r="G110" t="s">
        <v>477</v>
      </c>
      <c r="H110" s="5"/>
      <c r="I110" s="5"/>
      <c r="J110">
        <f t="shared" si="1"/>
        <v>0</v>
      </c>
    </row>
    <row r="111" spans="1:10" ht="72" x14ac:dyDescent="0.55000000000000004">
      <c r="A111">
        <v>2024</v>
      </c>
      <c r="B111">
        <v>101</v>
      </c>
      <c r="C111" t="s">
        <v>478</v>
      </c>
      <c r="D111" s="4" t="s">
        <v>479</v>
      </c>
      <c r="E111" s="4" t="s">
        <v>480</v>
      </c>
      <c r="F111" t="s">
        <v>481</v>
      </c>
      <c r="G111" t="s">
        <v>482</v>
      </c>
      <c r="H111" s="5"/>
      <c r="I111" s="5"/>
      <c r="J111">
        <f t="shared" si="1"/>
        <v>0</v>
      </c>
    </row>
    <row r="112" spans="1:10" ht="57.6" x14ac:dyDescent="0.55000000000000004">
      <c r="A112">
        <v>2024</v>
      </c>
      <c r="B112">
        <v>131</v>
      </c>
      <c r="C112" t="s">
        <v>483</v>
      </c>
      <c r="D112" s="4" t="s">
        <v>484</v>
      </c>
      <c r="E112" s="4" t="s">
        <v>485</v>
      </c>
      <c r="F112" t="s">
        <v>486</v>
      </c>
      <c r="G112" t="s">
        <v>487</v>
      </c>
      <c r="H112" s="5"/>
      <c r="I112" s="5"/>
      <c r="J112">
        <f t="shared" si="1"/>
        <v>0</v>
      </c>
    </row>
    <row r="113" spans="1:10" ht="43.2" x14ac:dyDescent="0.55000000000000004">
      <c r="A113">
        <v>2024</v>
      </c>
      <c r="B113">
        <v>139</v>
      </c>
      <c r="C113" t="s">
        <v>488</v>
      </c>
      <c r="D113" s="4" t="s">
        <v>489</v>
      </c>
      <c r="E113" s="4" t="s">
        <v>490</v>
      </c>
      <c r="F113" t="s">
        <v>329</v>
      </c>
      <c r="G113" t="s">
        <v>328</v>
      </c>
      <c r="H113" s="5"/>
      <c r="I113" s="5"/>
      <c r="J113">
        <f t="shared" si="1"/>
        <v>0</v>
      </c>
    </row>
    <row r="114" spans="1:10" ht="43.2" x14ac:dyDescent="0.55000000000000004">
      <c r="A114">
        <v>2025</v>
      </c>
      <c r="B114">
        <v>2</v>
      </c>
      <c r="C114" t="s">
        <v>491</v>
      </c>
      <c r="D114" s="4" t="s">
        <v>492</v>
      </c>
      <c r="E114" s="4" t="s">
        <v>493</v>
      </c>
      <c r="F114" t="s">
        <v>137</v>
      </c>
      <c r="G114" t="s">
        <v>49</v>
      </c>
      <c r="H114" s="5"/>
      <c r="I114" s="5"/>
      <c r="J114">
        <f t="shared" si="1"/>
        <v>0</v>
      </c>
    </row>
    <row r="115" spans="1:10" ht="43.2" x14ac:dyDescent="0.55000000000000004">
      <c r="A115">
        <v>2025</v>
      </c>
      <c r="B115">
        <v>4</v>
      </c>
      <c r="C115" t="s">
        <v>494</v>
      </c>
      <c r="D115" s="4" t="s">
        <v>495</v>
      </c>
      <c r="E115" s="4" t="s">
        <v>496</v>
      </c>
      <c r="F115" t="s">
        <v>316</v>
      </c>
      <c r="G115" t="s">
        <v>317</v>
      </c>
      <c r="H115" s="5"/>
      <c r="I115" s="5"/>
      <c r="J115">
        <f t="shared" si="1"/>
        <v>0</v>
      </c>
    </row>
    <row r="116" spans="1:10" ht="28.8" x14ac:dyDescent="0.55000000000000004">
      <c r="A116">
        <v>2025</v>
      </c>
      <c r="B116">
        <v>7</v>
      </c>
      <c r="C116" t="s">
        <v>497</v>
      </c>
      <c r="D116" s="4" t="s">
        <v>498</v>
      </c>
      <c r="E116" s="4" t="s">
        <v>499</v>
      </c>
      <c r="F116" t="s">
        <v>316</v>
      </c>
      <c r="G116" t="s">
        <v>317</v>
      </c>
      <c r="H116" s="5"/>
      <c r="I116" s="5"/>
      <c r="J116">
        <f t="shared" si="1"/>
        <v>0</v>
      </c>
    </row>
    <row r="117" spans="1:10" ht="72" x14ac:dyDescent="0.55000000000000004">
      <c r="A117">
        <v>2025</v>
      </c>
      <c r="B117">
        <v>8</v>
      </c>
      <c r="C117" t="s">
        <v>500</v>
      </c>
      <c r="D117" s="4" t="s">
        <v>501</v>
      </c>
      <c r="E117" s="4" t="s">
        <v>502</v>
      </c>
      <c r="F117" t="s">
        <v>454</v>
      </c>
      <c r="G117" t="s">
        <v>503</v>
      </c>
      <c r="H117" s="5"/>
      <c r="I117" s="5"/>
      <c r="J117">
        <f t="shared" si="1"/>
        <v>0</v>
      </c>
    </row>
    <row r="118" spans="1:10" ht="43.2" x14ac:dyDescent="0.55000000000000004">
      <c r="A118">
        <v>2025</v>
      </c>
      <c r="B118">
        <v>15</v>
      </c>
      <c r="C118" t="s">
        <v>504</v>
      </c>
      <c r="D118" s="4" t="s">
        <v>505</v>
      </c>
      <c r="E118" s="4" t="s">
        <v>506</v>
      </c>
      <c r="F118" t="s">
        <v>507</v>
      </c>
      <c r="G118" t="s">
        <v>10</v>
      </c>
      <c r="H118" s="5"/>
      <c r="I118" s="5"/>
      <c r="J118">
        <f t="shared" si="1"/>
        <v>0</v>
      </c>
    </row>
    <row r="119" spans="1:10" ht="28.8" x14ac:dyDescent="0.55000000000000004">
      <c r="A119">
        <v>2025</v>
      </c>
      <c r="B119">
        <v>40</v>
      </c>
      <c r="C119" t="s">
        <v>508</v>
      </c>
      <c r="D119" s="4" t="s">
        <v>509</v>
      </c>
      <c r="E119" s="4" t="s">
        <v>510</v>
      </c>
      <c r="F119" t="s">
        <v>511</v>
      </c>
      <c r="G119" t="s">
        <v>352</v>
      </c>
      <c r="H119" s="5"/>
      <c r="I119" s="5"/>
      <c r="J119">
        <f t="shared" si="1"/>
        <v>0</v>
      </c>
    </row>
    <row r="120" spans="1:10" ht="43.2" x14ac:dyDescent="0.55000000000000004">
      <c r="A120">
        <v>2025</v>
      </c>
      <c r="B120">
        <v>55</v>
      </c>
      <c r="C120" t="s">
        <v>512</v>
      </c>
      <c r="D120" s="4" t="s">
        <v>513</v>
      </c>
      <c r="E120" s="4" t="s">
        <v>514</v>
      </c>
      <c r="F120" t="s">
        <v>29</v>
      </c>
      <c r="G120" t="s">
        <v>28</v>
      </c>
      <c r="H120" s="5"/>
      <c r="I120" s="5"/>
      <c r="J120">
        <f t="shared" si="1"/>
        <v>0</v>
      </c>
    </row>
    <row r="121" spans="1:10" ht="72" x14ac:dyDescent="0.55000000000000004">
      <c r="A121">
        <v>2025</v>
      </c>
      <c r="B121">
        <v>56</v>
      </c>
      <c r="C121" t="s">
        <v>515</v>
      </c>
      <c r="D121" s="4" t="s">
        <v>516</v>
      </c>
      <c r="E121" s="4" t="s">
        <v>85</v>
      </c>
      <c r="F121" t="s">
        <v>86</v>
      </c>
      <c r="G121" t="s">
        <v>517</v>
      </c>
      <c r="H121" s="5"/>
      <c r="I121" s="5"/>
      <c r="J121">
        <f t="shared" si="1"/>
        <v>0</v>
      </c>
    </row>
    <row r="122" spans="1:10" ht="57.6" x14ac:dyDescent="0.55000000000000004">
      <c r="A122">
        <v>2025</v>
      </c>
      <c r="B122">
        <v>68</v>
      </c>
      <c r="C122" t="s">
        <v>518</v>
      </c>
      <c r="D122" s="4" t="s">
        <v>519</v>
      </c>
      <c r="E122" s="4" t="s">
        <v>520</v>
      </c>
      <c r="F122" t="s">
        <v>521</v>
      </c>
      <c r="G122" t="s">
        <v>9</v>
      </c>
      <c r="H122" s="5"/>
      <c r="I122" s="5"/>
      <c r="J122">
        <f t="shared" si="1"/>
        <v>0</v>
      </c>
    </row>
    <row r="123" spans="1:10" ht="57.6" x14ac:dyDescent="0.55000000000000004">
      <c r="A123">
        <v>2025</v>
      </c>
      <c r="B123">
        <v>131</v>
      </c>
      <c r="C123" t="s">
        <v>522</v>
      </c>
      <c r="D123" s="4" t="s">
        <v>523</v>
      </c>
      <c r="E123" s="4" t="s">
        <v>524</v>
      </c>
      <c r="F123" t="s">
        <v>487</v>
      </c>
      <c r="G123" t="s">
        <v>192</v>
      </c>
      <c r="H123" s="5"/>
      <c r="I123" s="5"/>
      <c r="J123">
        <f t="shared" si="1"/>
        <v>0</v>
      </c>
    </row>
    <row r="124" spans="1:10" ht="43.2" x14ac:dyDescent="0.55000000000000004">
      <c r="A124">
        <v>2025</v>
      </c>
      <c r="B124">
        <v>133</v>
      </c>
      <c r="C124" t="s">
        <v>525</v>
      </c>
      <c r="D124" s="4" t="s">
        <v>526</v>
      </c>
      <c r="E124" s="4" t="s">
        <v>527</v>
      </c>
      <c r="F124" t="s">
        <v>137</v>
      </c>
      <c r="G124" t="s">
        <v>528</v>
      </c>
      <c r="H124" s="5"/>
      <c r="I124" s="5"/>
      <c r="J124">
        <f t="shared" si="1"/>
        <v>0</v>
      </c>
    </row>
    <row r="125" spans="1:10" ht="43.2" x14ac:dyDescent="0.55000000000000004">
      <c r="A125">
        <v>2025</v>
      </c>
      <c r="B125">
        <v>134</v>
      </c>
      <c r="C125" t="s">
        <v>529</v>
      </c>
      <c r="D125" s="4" t="s">
        <v>530</v>
      </c>
      <c r="E125" s="4" t="s">
        <v>531</v>
      </c>
      <c r="F125" t="s">
        <v>532</v>
      </c>
      <c r="G125" t="s">
        <v>528</v>
      </c>
      <c r="H125" s="5"/>
      <c r="I125" s="5"/>
      <c r="J125">
        <f t="shared" si="1"/>
        <v>0</v>
      </c>
    </row>
    <row r="126" spans="1:10" ht="43.2" x14ac:dyDescent="0.55000000000000004">
      <c r="A126">
        <v>2025</v>
      </c>
      <c r="B126">
        <v>135</v>
      </c>
      <c r="C126" t="s">
        <v>533</v>
      </c>
      <c r="D126" s="4" t="s">
        <v>534</v>
      </c>
      <c r="E126" s="4" t="s">
        <v>535</v>
      </c>
      <c r="F126" t="s">
        <v>137</v>
      </c>
      <c r="G126" t="s">
        <v>14</v>
      </c>
      <c r="H126" s="5"/>
      <c r="I126" s="5"/>
      <c r="J126">
        <f t="shared" si="1"/>
        <v>0</v>
      </c>
    </row>
    <row r="127" spans="1:10" ht="57.6" x14ac:dyDescent="0.55000000000000004">
      <c r="A127">
        <v>2025</v>
      </c>
      <c r="B127">
        <v>137</v>
      </c>
      <c r="C127" t="s">
        <v>536</v>
      </c>
      <c r="D127" s="4" t="s">
        <v>537</v>
      </c>
      <c r="E127" s="4" t="s">
        <v>416</v>
      </c>
      <c r="F127" t="s">
        <v>417</v>
      </c>
      <c r="G127" t="s">
        <v>418</v>
      </c>
      <c r="H127" s="5"/>
      <c r="I127" s="5"/>
      <c r="J127">
        <f t="shared" si="1"/>
        <v>0</v>
      </c>
    </row>
  </sheetData>
  <dataValidations count="1">
    <dataValidation type="list" allowBlank="1" showInputMessage="1" showErrorMessage="1" sqref="H2:I1048576" xr:uid="{BC235E27-E744-4C04-BB8B-963997B39047}">
      <formula1>$K$2:$K$29</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4140B-9BFC-4DA7-9294-F6EED81C5547}">
  <dimension ref="A1"/>
  <sheetViews>
    <sheetView workbookViewId="0">
      <selection activeCell="G17" sqref="G17"/>
    </sheetView>
  </sheetViews>
  <sheetFormatPr defaultRowHeight="14.4" x14ac:dyDescent="0.5500000000000000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Expert Review</vt:lpstr>
      <vt:lpstr>Foglio1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Filippo Bianchini</cp:lastModifiedBy>
  <dcterms:created xsi:type="dcterms:W3CDTF">2026-06-21T15:36:45Z</dcterms:created>
  <dcterms:modified xsi:type="dcterms:W3CDTF">2026-07-01T11:47:20Z</dcterms:modified>
</cp:coreProperties>
</file>